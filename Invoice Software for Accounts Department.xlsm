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ows\Desktop\"/>
    </mc:Choice>
  </mc:AlternateContent>
  <xr:revisionPtr revIDLastSave="0" documentId="13_ncr:1_{3D9C4CEE-5371-44C6-8164-A5B22B067DC3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Voucher" sheetId="2" r:id="rId1"/>
    <sheet name="Sales" sheetId="1" r:id="rId2"/>
    <sheet name="Stock" sheetId="3" r:id="rId3"/>
    <sheet name="Setup" sheetId="4" r:id="rId4"/>
    <sheet name="Backend" sheetId="5" r:id="rId5"/>
  </sheets>
  <definedNames>
    <definedName name="_xlnm._FilterDatabase" localSheetId="3" hidden="1">Setup!$B$2:$C$400</definedName>
    <definedName name="al">Setup!$B$3:$F$500</definedName>
    <definedName name="_xlnm.Criteria">Voucher!$J$5:$K$6</definedName>
    <definedName name="_xlnm.Extract" localSheetId="0">Voucher!$J$8:$K$8</definedName>
    <definedName name="Itemcode">Setup!$B$3:$B$400</definedName>
    <definedName name="Itemname">Setup!$C$3:$C$400</definedName>
    <definedName name="list">Setup!$B$2:$C$400</definedName>
    <definedName name="_xlnm.Print_Area" localSheetId="2">Stock!$B$1:$C$158</definedName>
    <definedName name="_xlnm.Print_Area" localSheetId="0">Voucher!$A$1:$G$156</definedName>
    <definedName name="unt">Setup!$K$3:$K$466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5" l="1"/>
  <c r="F15" i="2" l="1"/>
  <c r="M3" i="4" l="1"/>
  <c r="C4" i="5" l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3" i="5"/>
  <c r="C4" i="3" l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3" i="3"/>
  <c r="B4" i="3"/>
  <c r="E4" i="3" s="1"/>
  <c r="B5" i="3"/>
  <c r="E5" i="3" s="1"/>
  <c r="B6" i="3"/>
  <c r="E6" i="3" s="1"/>
  <c r="B7" i="3"/>
  <c r="E7" i="3" s="1"/>
  <c r="B8" i="3"/>
  <c r="E8" i="3" s="1"/>
  <c r="B9" i="3"/>
  <c r="E9" i="3" s="1"/>
  <c r="B10" i="3"/>
  <c r="E10" i="3" s="1"/>
  <c r="B11" i="3"/>
  <c r="E11" i="3" s="1"/>
  <c r="B12" i="3"/>
  <c r="E12" i="3" s="1"/>
  <c r="B13" i="3"/>
  <c r="E13" i="3" s="1"/>
  <c r="B14" i="3"/>
  <c r="E14" i="3" s="1"/>
  <c r="B15" i="3"/>
  <c r="E15" i="3" s="1"/>
  <c r="B16" i="3"/>
  <c r="E16" i="3" s="1"/>
  <c r="B17" i="3"/>
  <c r="E17" i="3" s="1"/>
  <c r="B18" i="3"/>
  <c r="E18" i="3" s="1"/>
  <c r="B19" i="3"/>
  <c r="E19" i="3" s="1"/>
  <c r="B20" i="3"/>
  <c r="E20" i="3" s="1"/>
  <c r="B21" i="3"/>
  <c r="E21" i="3" s="1"/>
  <c r="B22" i="3"/>
  <c r="E22" i="3" s="1"/>
  <c r="B23" i="3"/>
  <c r="E23" i="3" s="1"/>
  <c r="B24" i="3"/>
  <c r="E24" i="3" s="1"/>
  <c r="B25" i="3"/>
  <c r="E25" i="3" s="1"/>
  <c r="B26" i="3"/>
  <c r="E26" i="3" s="1"/>
  <c r="B27" i="3"/>
  <c r="E27" i="3" s="1"/>
  <c r="B28" i="3"/>
  <c r="E28" i="3" s="1"/>
  <c r="B29" i="3"/>
  <c r="E29" i="3" s="1"/>
  <c r="B30" i="3"/>
  <c r="E30" i="3" s="1"/>
  <c r="B31" i="3"/>
  <c r="E31" i="3" s="1"/>
  <c r="B32" i="3"/>
  <c r="E32" i="3" s="1"/>
  <c r="B33" i="3"/>
  <c r="E33" i="3" s="1"/>
  <c r="B34" i="3"/>
  <c r="E34" i="3" s="1"/>
  <c r="B35" i="3"/>
  <c r="E35" i="3" s="1"/>
  <c r="B36" i="3"/>
  <c r="E36" i="3" s="1"/>
  <c r="B37" i="3"/>
  <c r="E37" i="3" s="1"/>
  <c r="B38" i="3"/>
  <c r="E38" i="3" s="1"/>
  <c r="B39" i="3"/>
  <c r="E39" i="3" s="1"/>
  <c r="B40" i="3"/>
  <c r="E40" i="3" s="1"/>
  <c r="B41" i="3"/>
  <c r="E41" i="3" s="1"/>
  <c r="B42" i="3"/>
  <c r="E42" i="3" s="1"/>
  <c r="B43" i="3"/>
  <c r="E43" i="3" s="1"/>
  <c r="B44" i="3"/>
  <c r="E44" i="3" s="1"/>
  <c r="B45" i="3"/>
  <c r="E45" i="3" s="1"/>
  <c r="B46" i="3"/>
  <c r="E46" i="3" s="1"/>
  <c r="B47" i="3"/>
  <c r="E47" i="3" s="1"/>
  <c r="B48" i="3"/>
  <c r="E48" i="3" s="1"/>
  <c r="B49" i="3"/>
  <c r="E49" i="3" s="1"/>
  <c r="B50" i="3"/>
  <c r="E50" i="3" s="1"/>
  <c r="B51" i="3"/>
  <c r="E51" i="3" s="1"/>
  <c r="B52" i="3"/>
  <c r="E52" i="3" s="1"/>
  <c r="B53" i="3"/>
  <c r="E53" i="3" s="1"/>
  <c r="B54" i="3"/>
  <c r="E54" i="3" s="1"/>
  <c r="B55" i="3"/>
  <c r="E55" i="3" s="1"/>
  <c r="B56" i="3"/>
  <c r="E56" i="3" s="1"/>
  <c r="B57" i="3"/>
  <c r="E57" i="3" s="1"/>
  <c r="B58" i="3"/>
  <c r="E58" i="3" s="1"/>
  <c r="B59" i="3"/>
  <c r="E59" i="3" s="1"/>
  <c r="B60" i="3"/>
  <c r="E60" i="3" s="1"/>
  <c r="B61" i="3"/>
  <c r="E61" i="3" s="1"/>
  <c r="B62" i="3"/>
  <c r="E62" i="3" s="1"/>
  <c r="B63" i="3"/>
  <c r="E63" i="3" s="1"/>
  <c r="B64" i="3"/>
  <c r="E64" i="3" s="1"/>
  <c r="B65" i="3"/>
  <c r="E65" i="3" s="1"/>
  <c r="B66" i="3"/>
  <c r="E66" i="3" s="1"/>
  <c r="B67" i="3"/>
  <c r="E67" i="3" s="1"/>
  <c r="B68" i="3"/>
  <c r="E68" i="3" s="1"/>
  <c r="B69" i="3"/>
  <c r="E69" i="3" s="1"/>
  <c r="B70" i="3"/>
  <c r="E70" i="3" s="1"/>
  <c r="B71" i="3"/>
  <c r="E71" i="3" s="1"/>
  <c r="B72" i="3"/>
  <c r="E72" i="3" s="1"/>
  <c r="B73" i="3"/>
  <c r="E73" i="3" s="1"/>
  <c r="B74" i="3"/>
  <c r="E74" i="3" s="1"/>
  <c r="B75" i="3"/>
  <c r="E75" i="3" s="1"/>
  <c r="B76" i="3"/>
  <c r="E76" i="3" s="1"/>
  <c r="B77" i="3"/>
  <c r="E77" i="3" s="1"/>
  <c r="B78" i="3"/>
  <c r="E78" i="3" s="1"/>
  <c r="B79" i="3"/>
  <c r="E79" i="3" s="1"/>
  <c r="B80" i="3"/>
  <c r="E80" i="3" s="1"/>
  <c r="B81" i="3"/>
  <c r="E81" i="3" s="1"/>
  <c r="B82" i="3"/>
  <c r="E82" i="3" s="1"/>
  <c r="B83" i="3"/>
  <c r="E83" i="3" s="1"/>
  <c r="B84" i="3"/>
  <c r="E84" i="3" s="1"/>
  <c r="B85" i="3"/>
  <c r="E85" i="3" s="1"/>
  <c r="B86" i="3"/>
  <c r="E86" i="3" s="1"/>
  <c r="B87" i="3"/>
  <c r="E87" i="3" s="1"/>
  <c r="B88" i="3"/>
  <c r="E88" i="3" s="1"/>
  <c r="B89" i="3"/>
  <c r="E89" i="3" s="1"/>
  <c r="B90" i="3"/>
  <c r="E90" i="3" s="1"/>
  <c r="B91" i="3"/>
  <c r="E91" i="3" s="1"/>
  <c r="B92" i="3"/>
  <c r="E92" i="3" s="1"/>
  <c r="B93" i="3"/>
  <c r="E93" i="3" s="1"/>
  <c r="B94" i="3"/>
  <c r="E94" i="3" s="1"/>
  <c r="B95" i="3"/>
  <c r="E95" i="3" s="1"/>
  <c r="B96" i="3"/>
  <c r="E96" i="3" s="1"/>
  <c r="B97" i="3"/>
  <c r="E97" i="3" s="1"/>
  <c r="B98" i="3"/>
  <c r="E98" i="3" s="1"/>
  <c r="B99" i="3"/>
  <c r="E99" i="3" s="1"/>
  <c r="B100" i="3"/>
  <c r="E100" i="3" s="1"/>
  <c r="B101" i="3"/>
  <c r="E101" i="3" s="1"/>
  <c r="B102" i="3"/>
  <c r="E102" i="3" s="1"/>
  <c r="B103" i="3"/>
  <c r="E103" i="3" s="1"/>
  <c r="B104" i="3"/>
  <c r="E104" i="3" s="1"/>
  <c r="B105" i="3"/>
  <c r="E105" i="3" s="1"/>
  <c r="B106" i="3"/>
  <c r="E106" i="3" s="1"/>
  <c r="B107" i="3"/>
  <c r="E107" i="3" s="1"/>
  <c r="B108" i="3"/>
  <c r="E108" i="3" s="1"/>
  <c r="B109" i="3"/>
  <c r="E109" i="3" s="1"/>
  <c r="B110" i="3"/>
  <c r="E110" i="3" s="1"/>
  <c r="B111" i="3"/>
  <c r="E111" i="3" s="1"/>
  <c r="B112" i="3"/>
  <c r="E112" i="3" s="1"/>
  <c r="B113" i="3"/>
  <c r="E113" i="3" s="1"/>
  <c r="B114" i="3"/>
  <c r="E114" i="3" s="1"/>
  <c r="B115" i="3"/>
  <c r="E115" i="3" s="1"/>
  <c r="B116" i="3"/>
  <c r="E116" i="3" s="1"/>
  <c r="B117" i="3"/>
  <c r="E117" i="3" s="1"/>
  <c r="B118" i="3"/>
  <c r="E118" i="3" s="1"/>
  <c r="B119" i="3"/>
  <c r="E119" i="3" s="1"/>
  <c r="B120" i="3"/>
  <c r="E120" i="3" s="1"/>
  <c r="B121" i="3"/>
  <c r="E121" i="3" s="1"/>
  <c r="B122" i="3"/>
  <c r="E122" i="3" s="1"/>
  <c r="B123" i="3"/>
  <c r="E123" i="3" s="1"/>
  <c r="B124" i="3"/>
  <c r="E124" i="3" s="1"/>
  <c r="B125" i="3"/>
  <c r="E125" i="3" s="1"/>
  <c r="B126" i="3"/>
  <c r="E126" i="3" s="1"/>
  <c r="B127" i="3"/>
  <c r="E127" i="3" s="1"/>
  <c r="B128" i="3"/>
  <c r="E128" i="3" s="1"/>
  <c r="B129" i="3"/>
  <c r="E129" i="3" s="1"/>
  <c r="B130" i="3"/>
  <c r="E130" i="3" s="1"/>
  <c r="B131" i="3"/>
  <c r="E131" i="3" s="1"/>
  <c r="B132" i="3"/>
  <c r="E132" i="3" s="1"/>
  <c r="B133" i="3"/>
  <c r="E133" i="3" s="1"/>
  <c r="B134" i="3"/>
  <c r="E134" i="3" s="1"/>
  <c r="B135" i="3"/>
  <c r="E135" i="3" s="1"/>
  <c r="B136" i="3"/>
  <c r="E136" i="3" s="1"/>
  <c r="B137" i="3"/>
  <c r="E137" i="3" s="1"/>
  <c r="B138" i="3"/>
  <c r="E138" i="3" s="1"/>
  <c r="B139" i="3"/>
  <c r="E139" i="3" s="1"/>
  <c r="B140" i="3"/>
  <c r="E140" i="3" s="1"/>
  <c r="B141" i="3"/>
  <c r="E141" i="3" s="1"/>
  <c r="B142" i="3"/>
  <c r="E142" i="3" s="1"/>
  <c r="B143" i="3"/>
  <c r="E143" i="3" s="1"/>
  <c r="B144" i="3"/>
  <c r="E144" i="3" s="1"/>
  <c r="B145" i="3"/>
  <c r="E145" i="3" s="1"/>
  <c r="B146" i="3"/>
  <c r="E146" i="3" s="1"/>
  <c r="B147" i="3"/>
  <c r="E147" i="3" s="1"/>
  <c r="B148" i="3"/>
  <c r="E148" i="3" s="1"/>
  <c r="B149" i="3"/>
  <c r="E149" i="3" s="1"/>
  <c r="B150" i="3"/>
  <c r="E150" i="3" s="1"/>
  <c r="B151" i="3"/>
  <c r="E151" i="3" s="1"/>
  <c r="B152" i="3"/>
  <c r="E152" i="3" s="1"/>
  <c r="B153" i="3"/>
  <c r="E153" i="3" s="1"/>
  <c r="B154" i="3"/>
  <c r="E154" i="3" s="1"/>
  <c r="B155" i="3"/>
  <c r="E155" i="3" s="1"/>
  <c r="B156" i="3"/>
  <c r="E156" i="3" s="1"/>
  <c r="B157" i="3"/>
  <c r="E157" i="3" s="1"/>
  <c r="B158" i="3"/>
  <c r="E158" i="3" s="1"/>
  <c r="B159" i="3"/>
  <c r="E159" i="3" s="1"/>
  <c r="B160" i="3"/>
  <c r="E160" i="3" s="1"/>
  <c r="B161" i="3"/>
  <c r="E161" i="3" s="1"/>
  <c r="B162" i="3"/>
  <c r="E162" i="3" s="1"/>
  <c r="B163" i="3"/>
  <c r="E163" i="3" s="1"/>
  <c r="B164" i="3"/>
  <c r="E164" i="3" s="1"/>
  <c r="B165" i="3"/>
  <c r="E165" i="3" s="1"/>
  <c r="B166" i="3"/>
  <c r="E166" i="3" s="1"/>
  <c r="B167" i="3"/>
  <c r="E167" i="3" s="1"/>
  <c r="B168" i="3"/>
  <c r="E168" i="3" s="1"/>
  <c r="B169" i="3"/>
  <c r="E169" i="3" s="1"/>
  <c r="B170" i="3"/>
  <c r="E170" i="3" s="1"/>
  <c r="B171" i="3"/>
  <c r="E171" i="3" s="1"/>
  <c r="B172" i="3"/>
  <c r="E172" i="3" s="1"/>
  <c r="B173" i="3"/>
  <c r="E173" i="3" s="1"/>
  <c r="B174" i="3"/>
  <c r="E174" i="3" s="1"/>
  <c r="B175" i="3"/>
  <c r="E175" i="3" s="1"/>
  <c r="B176" i="3"/>
  <c r="E176" i="3" s="1"/>
  <c r="B177" i="3"/>
  <c r="E177" i="3" s="1"/>
  <c r="B178" i="3"/>
  <c r="E178" i="3" s="1"/>
  <c r="B179" i="3"/>
  <c r="E179" i="3" s="1"/>
  <c r="B180" i="3"/>
  <c r="E180" i="3" s="1"/>
  <c r="B181" i="3"/>
  <c r="E181" i="3" s="1"/>
  <c r="B182" i="3"/>
  <c r="E182" i="3" s="1"/>
  <c r="B183" i="3"/>
  <c r="E183" i="3" s="1"/>
  <c r="B184" i="3"/>
  <c r="E184" i="3" s="1"/>
  <c r="B185" i="3"/>
  <c r="E185" i="3" s="1"/>
  <c r="B186" i="3"/>
  <c r="E186" i="3" s="1"/>
  <c r="B187" i="3"/>
  <c r="E187" i="3" s="1"/>
  <c r="B188" i="3"/>
  <c r="E188" i="3" s="1"/>
  <c r="B189" i="3"/>
  <c r="E189" i="3" s="1"/>
  <c r="B190" i="3"/>
  <c r="E190" i="3" s="1"/>
  <c r="B191" i="3"/>
  <c r="E191" i="3" s="1"/>
  <c r="B192" i="3"/>
  <c r="E192" i="3" s="1"/>
  <c r="B193" i="3"/>
  <c r="E193" i="3" s="1"/>
  <c r="B194" i="3"/>
  <c r="E194" i="3" s="1"/>
  <c r="B195" i="3"/>
  <c r="E195" i="3" s="1"/>
  <c r="B196" i="3"/>
  <c r="E196" i="3" s="1"/>
  <c r="B197" i="3"/>
  <c r="E197" i="3" s="1"/>
  <c r="B198" i="3"/>
  <c r="E198" i="3" s="1"/>
  <c r="B199" i="3"/>
  <c r="E199" i="3" s="1"/>
  <c r="B200" i="3"/>
  <c r="E200" i="3" s="1"/>
  <c r="B201" i="3"/>
  <c r="E201" i="3" s="1"/>
  <c r="B202" i="3"/>
  <c r="E202" i="3" s="1"/>
  <c r="B203" i="3"/>
  <c r="E203" i="3" s="1"/>
  <c r="B204" i="3"/>
  <c r="E204" i="3" s="1"/>
  <c r="B205" i="3"/>
  <c r="E205" i="3" s="1"/>
  <c r="B206" i="3"/>
  <c r="E206" i="3" s="1"/>
  <c r="B207" i="3"/>
  <c r="E207" i="3" s="1"/>
  <c r="B208" i="3"/>
  <c r="E208" i="3" s="1"/>
  <c r="B209" i="3"/>
  <c r="E209" i="3" s="1"/>
  <c r="B210" i="3"/>
  <c r="E210" i="3" s="1"/>
  <c r="B211" i="3"/>
  <c r="E211" i="3" s="1"/>
  <c r="B212" i="3"/>
  <c r="E212" i="3" s="1"/>
  <c r="B213" i="3"/>
  <c r="E213" i="3" s="1"/>
  <c r="B214" i="3"/>
  <c r="E214" i="3" s="1"/>
  <c r="B215" i="3"/>
  <c r="E215" i="3" s="1"/>
  <c r="B216" i="3"/>
  <c r="E216" i="3" s="1"/>
  <c r="B217" i="3"/>
  <c r="E217" i="3" s="1"/>
  <c r="B218" i="3"/>
  <c r="E218" i="3" s="1"/>
  <c r="B219" i="3"/>
  <c r="E219" i="3" s="1"/>
  <c r="B220" i="3"/>
  <c r="E220" i="3" s="1"/>
  <c r="B221" i="3"/>
  <c r="E221" i="3" s="1"/>
  <c r="B222" i="3"/>
  <c r="E222" i="3" s="1"/>
  <c r="B223" i="3"/>
  <c r="E223" i="3" s="1"/>
  <c r="B224" i="3"/>
  <c r="E224" i="3" s="1"/>
  <c r="B225" i="3"/>
  <c r="E225" i="3" s="1"/>
  <c r="B226" i="3"/>
  <c r="E226" i="3" s="1"/>
  <c r="B227" i="3"/>
  <c r="E227" i="3" s="1"/>
  <c r="B228" i="3"/>
  <c r="E228" i="3" s="1"/>
  <c r="B229" i="3"/>
  <c r="E229" i="3" s="1"/>
  <c r="B230" i="3"/>
  <c r="E230" i="3" s="1"/>
  <c r="B231" i="3"/>
  <c r="E231" i="3" s="1"/>
  <c r="B232" i="3"/>
  <c r="E232" i="3" s="1"/>
  <c r="B233" i="3"/>
  <c r="E233" i="3" s="1"/>
  <c r="B234" i="3"/>
  <c r="E234" i="3" s="1"/>
  <c r="B235" i="3"/>
  <c r="E235" i="3" s="1"/>
  <c r="B236" i="3"/>
  <c r="E236" i="3" s="1"/>
  <c r="B237" i="3"/>
  <c r="E237" i="3" s="1"/>
  <c r="B238" i="3"/>
  <c r="E238" i="3" s="1"/>
  <c r="B239" i="3"/>
  <c r="E239" i="3" s="1"/>
  <c r="B240" i="3"/>
  <c r="E240" i="3" s="1"/>
  <c r="B241" i="3"/>
  <c r="E241" i="3" s="1"/>
  <c r="B242" i="3"/>
  <c r="E242" i="3" s="1"/>
  <c r="B243" i="3"/>
  <c r="E243" i="3" s="1"/>
  <c r="B244" i="3"/>
  <c r="E244" i="3" s="1"/>
  <c r="B245" i="3"/>
  <c r="E245" i="3" s="1"/>
  <c r="B246" i="3"/>
  <c r="E246" i="3" s="1"/>
  <c r="B247" i="3"/>
  <c r="E247" i="3" s="1"/>
  <c r="B248" i="3"/>
  <c r="E248" i="3" s="1"/>
  <c r="B249" i="3"/>
  <c r="E249" i="3" s="1"/>
  <c r="B250" i="3"/>
  <c r="E250" i="3" s="1"/>
  <c r="B251" i="3"/>
  <c r="E251" i="3" s="1"/>
  <c r="B252" i="3"/>
  <c r="E252" i="3" s="1"/>
  <c r="B253" i="3"/>
  <c r="E253" i="3" s="1"/>
  <c r="B254" i="3"/>
  <c r="E254" i="3" s="1"/>
  <c r="B255" i="3"/>
  <c r="E255" i="3" s="1"/>
  <c r="B256" i="3"/>
  <c r="E256" i="3" s="1"/>
  <c r="B257" i="3"/>
  <c r="E257" i="3" s="1"/>
  <c r="B258" i="3"/>
  <c r="E258" i="3" s="1"/>
  <c r="B259" i="3"/>
  <c r="E259" i="3" s="1"/>
  <c r="B260" i="3"/>
  <c r="E260" i="3" s="1"/>
  <c r="B261" i="3"/>
  <c r="E261" i="3" s="1"/>
  <c r="B262" i="3"/>
  <c r="E262" i="3" s="1"/>
  <c r="B263" i="3"/>
  <c r="E263" i="3" s="1"/>
  <c r="B264" i="3"/>
  <c r="E264" i="3" s="1"/>
  <c r="B265" i="3"/>
  <c r="E265" i="3" s="1"/>
  <c r="B266" i="3"/>
  <c r="E266" i="3" s="1"/>
  <c r="B267" i="3"/>
  <c r="E267" i="3" s="1"/>
  <c r="B268" i="3"/>
  <c r="E268" i="3" s="1"/>
  <c r="B269" i="3"/>
  <c r="E269" i="3" s="1"/>
  <c r="B270" i="3"/>
  <c r="E270" i="3" s="1"/>
  <c r="B271" i="3"/>
  <c r="E271" i="3" s="1"/>
  <c r="B272" i="3"/>
  <c r="E272" i="3" s="1"/>
  <c r="B273" i="3"/>
  <c r="E273" i="3" s="1"/>
  <c r="B274" i="3"/>
  <c r="E274" i="3" s="1"/>
  <c r="B275" i="3"/>
  <c r="E275" i="3" s="1"/>
  <c r="B276" i="3"/>
  <c r="E276" i="3" s="1"/>
  <c r="B277" i="3"/>
  <c r="E277" i="3" s="1"/>
  <c r="B278" i="3"/>
  <c r="E278" i="3" s="1"/>
  <c r="B279" i="3"/>
  <c r="E279" i="3" s="1"/>
  <c r="B280" i="3"/>
  <c r="E280" i="3" s="1"/>
  <c r="B281" i="3"/>
  <c r="E281" i="3" s="1"/>
  <c r="B282" i="3"/>
  <c r="E282" i="3" s="1"/>
  <c r="B283" i="3"/>
  <c r="E283" i="3" s="1"/>
  <c r="B284" i="3"/>
  <c r="E284" i="3" s="1"/>
  <c r="B285" i="3"/>
  <c r="E285" i="3" s="1"/>
  <c r="B286" i="3"/>
  <c r="E286" i="3" s="1"/>
  <c r="B287" i="3"/>
  <c r="E287" i="3" s="1"/>
  <c r="B288" i="3"/>
  <c r="E288" i="3" s="1"/>
  <c r="B289" i="3"/>
  <c r="E289" i="3" s="1"/>
  <c r="B290" i="3"/>
  <c r="E290" i="3" s="1"/>
  <c r="B291" i="3"/>
  <c r="E291" i="3" s="1"/>
  <c r="B292" i="3"/>
  <c r="E292" i="3" s="1"/>
  <c r="B293" i="3"/>
  <c r="E293" i="3" s="1"/>
  <c r="B294" i="3"/>
  <c r="E294" i="3" s="1"/>
  <c r="B295" i="3"/>
  <c r="E295" i="3" s="1"/>
  <c r="B296" i="3"/>
  <c r="E296" i="3" s="1"/>
  <c r="B297" i="3"/>
  <c r="E297" i="3" s="1"/>
  <c r="B298" i="3"/>
  <c r="E298" i="3" s="1"/>
  <c r="B299" i="3"/>
  <c r="E299" i="3" s="1"/>
  <c r="B300" i="3"/>
  <c r="E300" i="3" s="1"/>
  <c r="B301" i="3"/>
  <c r="E301" i="3" s="1"/>
  <c r="B302" i="3"/>
  <c r="E302" i="3" s="1"/>
  <c r="B303" i="3"/>
  <c r="E303" i="3" s="1"/>
  <c r="B304" i="3"/>
  <c r="E304" i="3" s="1"/>
  <c r="B305" i="3"/>
  <c r="E305" i="3" s="1"/>
  <c r="B306" i="3"/>
  <c r="E306" i="3" s="1"/>
  <c r="B307" i="3"/>
  <c r="E307" i="3" s="1"/>
  <c r="B308" i="3"/>
  <c r="E308" i="3" s="1"/>
  <c r="B309" i="3"/>
  <c r="E309" i="3" s="1"/>
  <c r="B310" i="3"/>
  <c r="E310" i="3" s="1"/>
  <c r="B311" i="3"/>
  <c r="E311" i="3" s="1"/>
  <c r="B312" i="3"/>
  <c r="E312" i="3" s="1"/>
  <c r="B313" i="3"/>
  <c r="E313" i="3" s="1"/>
  <c r="B314" i="3"/>
  <c r="E314" i="3" s="1"/>
  <c r="B315" i="3"/>
  <c r="E315" i="3" s="1"/>
  <c r="B316" i="3"/>
  <c r="E316" i="3" s="1"/>
  <c r="B317" i="3"/>
  <c r="E317" i="3" s="1"/>
  <c r="B318" i="3"/>
  <c r="E318" i="3" s="1"/>
  <c r="B319" i="3"/>
  <c r="E319" i="3" s="1"/>
  <c r="B320" i="3"/>
  <c r="E320" i="3" s="1"/>
  <c r="B321" i="3"/>
  <c r="E321" i="3" s="1"/>
  <c r="B322" i="3"/>
  <c r="E322" i="3" s="1"/>
  <c r="B323" i="3"/>
  <c r="E323" i="3" s="1"/>
  <c r="B324" i="3"/>
  <c r="E324" i="3" s="1"/>
  <c r="B325" i="3"/>
  <c r="E325" i="3" s="1"/>
  <c r="B326" i="3"/>
  <c r="E326" i="3" s="1"/>
  <c r="B327" i="3"/>
  <c r="E327" i="3" s="1"/>
  <c r="B328" i="3"/>
  <c r="E328" i="3" s="1"/>
  <c r="B329" i="3"/>
  <c r="E329" i="3" s="1"/>
  <c r="B330" i="3"/>
  <c r="E330" i="3" s="1"/>
  <c r="B331" i="3"/>
  <c r="E331" i="3" s="1"/>
  <c r="B332" i="3"/>
  <c r="E332" i="3" s="1"/>
  <c r="B333" i="3"/>
  <c r="E333" i="3" s="1"/>
  <c r="B334" i="3"/>
  <c r="E334" i="3" s="1"/>
  <c r="B335" i="3"/>
  <c r="E335" i="3" s="1"/>
  <c r="B336" i="3"/>
  <c r="E336" i="3" s="1"/>
  <c r="B337" i="3"/>
  <c r="E337" i="3" s="1"/>
  <c r="B338" i="3"/>
  <c r="E338" i="3" s="1"/>
  <c r="B339" i="3"/>
  <c r="E339" i="3" s="1"/>
  <c r="B340" i="3"/>
  <c r="E340" i="3" s="1"/>
  <c r="B341" i="3"/>
  <c r="E341" i="3" s="1"/>
  <c r="B342" i="3"/>
  <c r="E342" i="3" s="1"/>
  <c r="B343" i="3"/>
  <c r="E343" i="3" s="1"/>
  <c r="B344" i="3"/>
  <c r="E344" i="3" s="1"/>
  <c r="B345" i="3"/>
  <c r="E345" i="3" s="1"/>
  <c r="B346" i="3"/>
  <c r="E346" i="3" s="1"/>
  <c r="B347" i="3"/>
  <c r="E347" i="3" s="1"/>
  <c r="B348" i="3"/>
  <c r="E348" i="3" s="1"/>
  <c r="B349" i="3"/>
  <c r="E349" i="3" s="1"/>
  <c r="B350" i="3"/>
  <c r="E350" i="3" s="1"/>
  <c r="B351" i="3"/>
  <c r="E351" i="3" s="1"/>
  <c r="B352" i="3"/>
  <c r="E352" i="3" s="1"/>
  <c r="B353" i="3"/>
  <c r="E353" i="3" s="1"/>
  <c r="B354" i="3"/>
  <c r="E354" i="3" s="1"/>
  <c r="B355" i="3"/>
  <c r="E355" i="3" s="1"/>
  <c r="B356" i="3"/>
  <c r="E356" i="3" s="1"/>
  <c r="B357" i="3"/>
  <c r="E357" i="3" s="1"/>
  <c r="B358" i="3"/>
  <c r="E358" i="3" s="1"/>
  <c r="B359" i="3"/>
  <c r="E359" i="3" s="1"/>
  <c r="B360" i="3"/>
  <c r="E360" i="3" s="1"/>
  <c r="B361" i="3"/>
  <c r="E361" i="3" s="1"/>
  <c r="B362" i="3"/>
  <c r="E362" i="3" s="1"/>
  <c r="B363" i="3"/>
  <c r="E363" i="3" s="1"/>
  <c r="B364" i="3"/>
  <c r="E364" i="3" s="1"/>
  <c r="B365" i="3"/>
  <c r="E365" i="3" s="1"/>
  <c r="B366" i="3"/>
  <c r="E366" i="3" s="1"/>
  <c r="B367" i="3"/>
  <c r="E367" i="3" s="1"/>
  <c r="B368" i="3"/>
  <c r="E368" i="3" s="1"/>
  <c r="B369" i="3"/>
  <c r="E369" i="3" s="1"/>
  <c r="B370" i="3"/>
  <c r="E370" i="3" s="1"/>
  <c r="B371" i="3"/>
  <c r="E371" i="3" s="1"/>
  <c r="B372" i="3"/>
  <c r="E372" i="3" s="1"/>
  <c r="B373" i="3"/>
  <c r="E373" i="3" s="1"/>
  <c r="B374" i="3"/>
  <c r="E374" i="3" s="1"/>
  <c r="B375" i="3"/>
  <c r="E375" i="3" s="1"/>
  <c r="B376" i="3"/>
  <c r="E376" i="3" s="1"/>
  <c r="B377" i="3"/>
  <c r="E377" i="3" s="1"/>
  <c r="B378" i="3"/>
  <c r="E378" i="3" s="1"/>
  <c r="B379" i="3"/>
  <c r="E379" i="3" s="1"/>
  <c r="B380" i="3"/>
  <c r="E380" i="3" s="1"/>
  <c r="B381" i="3"/>
  <c r="E381" i="3" s="1"/>
  <c r="B382" i="3"/>
  <c r="E382" i="3" s="1"/>
  <c r="B383" i="3"/>
  <c r="E383" i="3" s="1"/>
  <c r="B384" i="3"/>
  <c r="E384" i="3" s="1"/>
  <c r="B385" i="3"/>
  <c r="E385" i="3" s="1"/>
  <c r="B386" i="3"/>
  <c r="E386" i="3" s="1"/>
  <c r="B387" i="3"/>
  <c r="E387" i="3" s="1"/>
  <c r="B388" i="3"/>
  <c r="E388" i="3" s="1"/>
  <c r="B389" i="3"/>
  <c r="E389" i="3" s="1"/>
  <c r="B390" i="3"/>
  <c r="E390" i="3" s="1"/>
  <c r="B391" i="3"/>
  <c r="E391" i="3" s="1"/>
  <c r="B392" i="3"/>
  <c r="E392" i="3" s="1"/>
  <c r="B393" i="3"/>
  <c r="E393" i="3" s="1"/>
  <c r="B394" i="3"/>
  <c r="E394" i="3" s="1"/>
  <c r="B395" i="3"/>
  <c r="E395" i="3" s="1"/>
  <c r="B396" i="3"/>
  <c r="E396" i="3" s="1"/>
  <c r="B397" i="3"/>
  <c r="E397" i="3" s="1"/>
  <c r="B398" i="3"/>
  <c r="E398" i="3" s="1"/>
  <c r="B399" i="3"/>
  <c r="E399" i="3" s="1"/>
  <c r="B400" i="3"/>
  <c r="E400" i="3" s="1"/>
  <c r="B401" i="3"/>
  <c r="E401" i="3" s="1"/>
  <c r="B402" i="3"/>
  <c r="E402" i="3" s="1"/>
  <c r="B403" i="3"/>
  <c r="E403" i="3" s="1"/>
  <c r="B404" i="3"/>
  <c r="E404" i="3" s="1"/>
  <c r="B405" i="3"/>
  <c r="E405" i="3" s="1"/>
  <c r="B406" i="3"/>
  <c r="E406" i="3" s="1"/>
  <c r="B407" i="3"/>
  <c r="E407" i="3" s="1"/>
  <c r="B408" i="3"/>
  <c r="E408" i="3" s="1"/>
  <c r="B409" i="3"/>
  <c r="E409" i="3" s="1"/>
  <c r="B410" i="3"/>
  <c r="E410" i="3" s="1"/>
  <c r="B411" i="3"/>
  <c r="E411" i="3" s="1"/>
  <c r="B412" i="3"/>
  <c r="E412" i="3" s="1"/>
  <c r="B413" i="3"/>
  <c r="E413" i="3" s="1"/>
  <c r="B414" i="3"/>
  <c r="E414" i="3" s="1"/>
  <c r="B415" i="3"/>
  <c r="E415" i="3" s="1"/>
  <c r="B416" i="3"/>
  <c r="E416" i="3" s="1"/>
  <c r="B417" i="3"/>
  <c r="E417" i="3" s="1"/>
  <c r="B418" i="3"/>
  <c r="E418" i="3" s="1"/>
  <c r="B419" i="3"/>
  <c r="E419" i="3" s="1"/>
  <c r="B420" i="3"/>
  <c r="E420" i="3" s="1"/>
  <c r="B421" i="3"/>
  <c r="E421" i="3" s="1"/>
  <c r="B422" i="3"/>
  <c r="E422" i="3" s="1"/>
  <c r="B423" i="3"/>
  <c r="E423" i="3" s="1"/>
  <c r="B424" i="3"/>
  <c r="E424" i="3" s="1"/>
  <c r="B425" i="3"/>
  <c r="E425" i="3" s="1"/>
  <c r="B426" i="3"/>
  <c r="E426" i="3" s="1"/>
  <c r="B3" i="3"/>
  <c r="E3" i="3" s="1"/>
  <c r="D58" i="3" l="1" a="1"/>
  <c r="D58" i="3" s="1"/>
  <c r="F58" i="3" s="1"/>
  <c r="D372" i="3" a="1"/>
  <c r="D372" i="3" s="1"/>
  <c r="F372" i="3" s="1"/>
  <c r="D308" i="3" a="1"/>
  <c r="D308" i="3" s="1"/>
  <c r="D235" i="3" a="1"/>
  <c r="D235" i="3" s="1"/>
  <c r="F235" i="3" s="1"/>
  <c r="D157" i="3" a="1"/>
  <c r="D157" i="3" s="1"/>
  <c r="D78" i="3" a="1"/>
  <c r="D78" i="3" s="1"/>
  <c r="F78" i="3" s="1"/>
  <c r="D364" i="3" a="1"/>
  <c r="D364" i="3" s="1"/>
  <c r="F364" i="3" s="1"/>
  <c r="D300" i="3" a="1"/>
  <c r="D300" i="3" s="1"/>
  <c r="F300" i="3" s="1"/>
  <c r="D229" i="3" a="1"/>
  <c r="D229" i="3" s="1"/>
  <c r="D150" i="3" a="1"/>
  <c r="D150" i="3" s="1"/>
  <c r="F150" i="3" s="1"/>
  <c r="D420" i="3" a="1"/>
  <c r="D420" i="3" s="1"/>
  <c r="F420" i="3" s="1"/>
  <c r="D356" i="3" a="1"/>
  <c r="D356" i="3" s="1"/>
  <c r="D292" i="3" a="1"/>
  <c r="D292" i="3" s="1"/>
  <c r="F292" i="3" s="1"/>
  <c r="D222" i="3" a="1"/>
  <c r="D222" i="3" s="1"/>
  <c r="F222" i="3" s="1"/>
  <c r="D130" i="3" a="1"/>
  <c r="D130" i="3" s="1"/>
  <c r="D52" i="3" a="1"/>
  <c r="D52" i="3" s="1"/>
  <c r="F52" i="3" s="1"/>
  <c r="D412" i="3" a="1"/>
  <c r="D412" i="3" s="1"/>
  <c r="F412" i="3" s="1"/>
  <c r="D348" i="3" a="1"/>
  <c r="D348" i="3" s="1"/>
  <c r="D284" i="3" a="1"/>
  <c r="D284" i="3" s="1"/>
  <c r="F284" i="3" s="1"/>
  <c r="D202" i="3" a="1"/>
  <c r="D202" i="3" s="1"/>
  <c r="F202" i="3" s="1"/>
  <c r="D124" i="3" a="1"/>
  <c r="D124" i="3" s="1"/>
  <c r="D45" i="3" a="1"/>
  <c r="D45" i="3" s="1"/>
  <c r="D404" i="3" a="1"/>
  <c r="D404" i="3" s="1"/>
  <c r="F404" i="3" s="1"/>
  <c r="D340" i="3" a="1"/>
  <c r="D340" i="3" s="1"/>
  <c r="F340" i="3" s="1"/>
  <c r="D276" i="3" a="1"/>
  <c r="D276" i="3" s="1"/>
  <c r="F276" i="3" s="1"/>
  <c r="D196" i="3" a="1"/>
  <c r="D196" i="3" s="1"/>
  <c r="F196" i="3" s="1"/>
  <c r="D117" i="3" a="1"/>
  <c r="D117" i="3" s="1"/>
  <c r="F117" i="3" s="1"/>
  <c r="D39" i="3" a="1"/>
  <c r="D39" i="3" s="1"/>
  <c r="D396" i="3" a="1"/>
  <c r="D396" i="3" s="1"/>
  <c r="F396" i="3" s="1"/>
  <c r="D332" i="3" a="1"/>
  <c r="D332" i="3" s="1"/>
  <c r="F332" i="3" s="1"/>
  <c r="D268" i="3" a="1"/>
  <c r="D268" i="3" s="1"/>
  <c r="F268" i="3" s="1"/>
  <c r="D189" i="3" a="1"/>
  <c r="D189" i="3" s="1"/>
  <c r="F189" i="3" s="1"/>
  <c r="D111" i="3" a="1"/>
  <c r="D111" i="3" s="1"/>
  <c r="F111" i="3" s="1"/>
  <c r="D19" i="3" a="1"/>
  <c r="D19" i="3" s="1"/>
  <c r="F19" i="3" s="1"/>
  <c r="D388" i="3" a="1"/>
  <c r="D388" i="3" s="1"/>
  <c r="F388" i="3" s="1"/>
  <c r="D324" i="3" a="1"/>
  <c r="D324" i="3" s="1"/>
  <c r="D261" i="3" a="1"/>
  <c r="D261" i="3" s="1"/>
  <c r="F261" i="3" s="1"/>
  <c r="D183" i="3" a="1"/>
  <c r="D183" i="3" s="1"/>
  <c r="D91" i="3" a="1"/>
  <c r="D91" i="3" s="1"/>
  <c r="F91" i="3" s="1"/>
  <c r="D13" i="3" a="1"/>
  <c r="D13" i="3" s="1"/>
  <c r="F13" i="3" s="1"/>
  <c r="D380" i="3" a="1"/>
  <c r="D380" i="3" s="1"/>
  <c r="F380" i="3" s="1"/>
  <c r="D316" i="3" a="1"/>
  <c r="D316" i="3" s="1"/>
  <c r="D255" i="3" a="1"/>
  <c r="D255" i="3" s="1"/>
  <c r="F255" i="3" s="1"/>
  <c r="D163" i="3" a="1"/>
  <c r="D163" i="3" s="1"/>
  <c r="F163" i="3" s="1"/>
  <c r="D85" i="3" a="1"/>
  <c r="D85" i="3" s="1"/>
  <c r="D6" i="3" a="1"/>
  <c r="D6" i="3" s="1"/>
  <c r="D425" i="3" a="1"/>
  <c r="D425" i="3" s="1"/>
  <c r="F425" i="3" s="1"/>
  <c r="D417" i="3" a="1"/>
  <c r="D417" i="3" s="1"/>
  <c r="F417" i="3" s="1"/>
  <c r="D409" i="3" a="1"/>
  <c r="D409" i="3" s="1"/>
  <c r="F409" i="3" s="1"/>
  <c r="D401" i="3" a="1"/>
  <c r="D401" i="3" s="1"/>
  <c r="F401" i="3" s="1"/>
  <c r="D393" i="3" a="1"/>
  <c r="D393" i="3" s="1"/>
  <c r="F393" i="3" s="1"/>
  <c r="D385" i="3" a="1"/>
  <c r="D385" i="3" s="1"/>
  <c r="F385" i="3" s="1"/>
  <c r="D377" i="3" a="1"/>
  <c r="D377" i="3" s="1"/>
  <c r="F377" i="3" s="1"/>
  <c r="D369" i="3" a="1"/>
  <c r="D369" i="3" s="1"/>
  <c r="F369" i="3" s="1"/>
  <c r="D361" i="3" a="1"/>
  <c r="D361" i="3" s="1"/>
  <c r="F361" i="3" s="1"/>
  <c r="D353" i="3" a="1"/>
  <c r="D353" i="3" s="1"/>
  <c r="F353" i="3" s="1"/>
  <c r="D345" i="3" a="1"/>
  <c r="D345" i="3" s="1"/>
  <c r="F345" i="3" s="1"/>
  <c r="D337" i="3" a="1"/>
  <c r="D337" i="3" s="1"/>
  <c r="D329" i="3" a="1"/>
  <c r="D329" i="3" s="1"/>
  <c r="F329" i="3" s="1"/>
  <c r="D321" i="3" a="1"/>
  <c r="D321" i="3" s="1"/>
  <c r="D313" i="3" a="1"/>
  <c r="D313" i="3" s="1"/>
  <c r="D305" i="3" a="1"/>
  <c r="D305" i="3" s="1"/>
  <c r="F305" i="3" s="1"/>
  <c r="D297" i="3" a="1"/>
  <c r="D297" i="3" s="1"/>
  <c r="F297" i="3" s="1"/>
  <c r="D289" i="3" a="1"/>
  <c r="D289" i="3" s="1"/>
  <c r="F289" i="3" s="1"/>
  <c r="D281" i="3" a="1"/>
  <c r="D281" i="3" s="1"/>
  <c r="F281" i="3" s="1"/>
  <c r="D273" i="3" a="1"/>
  <c r="D273" i="3" s="1"/>
  <c r="D265" i="3" a="1"/>
  <c r="D265" i="3" s="1"/>
  <c r="D252" i="3" a="1"/>
  <c r="D252" i="3" s="1"/>
  <c r="F252" i="3" s="1"/>
  <c r="D246" i="3" a="1"/>
  <c r="D246" i="3" s="1"/>
  <c r="D239" i="3" a="1"/>
  <c r="D239" i="3" s="1"/>
  <c r="F239" i="3" s="1"/>
  <c r="D233" i="3" a="1"/>
  <c r="D233" i="3" s="1"/>
  <c r="F233" i="3" s="1"/>
  <c r="D226" i="3" a="1"/>
  <c r="D226" i="3" s="1"/>
  <c r="F226" i="3" s="1"/>
  <c r="D213" i="3" a="1"/>
  <c r="D213" i="3" s="1"/>
  <c r="D206" i="3" a="1"/>
  <c r="D206" i="3" s="1"/>
  <c r="F206" i="3" s="1"/>
  <c r="D200" i="3" a="1"/>
  <c r="D200" i="3" s="1"/>
  <c r="F200" i="3" s="1"/>
  <c r="D194" i="3" a="1"/>
  <c r="D194" i="3" s="1"/>
  <c r="F194" i="3" s="1"/>
  <c r="D180" i="3" a="1"/>
  <c r="D180" i="3" s="1"/>
  <c r="F180" i="3" s="1"/>
  <c r="D174" i="3" a="1"/>
  <c r="D174" i="3" s="1"/>
  <c r="D167" i="3" a="1"/>
  <c r="D167" i="3" s="1"/>
  <c r="F167" i="3" s="1"/>
  <c r="D161" i="3" a="1"/>
  <c r="D161" i="3" s="1"/>
  <c r="F161" i="3" s="1"/>
  <c r="D154" i="3" a="1"/>
  <c r="D154" i="3" s="1"/>
  <c r="D141" i="3" a="1"/>
  <c r="D141" i="3" s="1"/>
  <c r="D134" i="3" a="1"/>
  <c r="D134" i="3" s="1"/>
  <c r="F134" i="3" s="1"/>
  <c r="D128" i="3" a="1"/>
  <c r="D128" i="3" s="1"/>
  <c r="D122" i="3" a="1"/>
  <c r="D122" i="3" s="1"/>
  <c r="F122" i="3" s="1"/>
  <c r="D108" i="3" a="1"/>
  <c r="D108" i="3" s="1"/>
  <c r="F108" i="3" s="1"/>
  <c r="D102" i="3" a="1"/>
  <c r="D102" i="3" s="1"/>
  <c r="F102" i="3" s="1"/>
  <c r="D95" i="3" a="1"/>
  <c r="D95" i="3" s="1"/>
  <c r="F95" i="3" s="1"/>
  <c r="D89" i="3" a="1"/>
  <c r="D89" i="3" s="1"/>
  <c r="F89" i="3" s="1"/>
  <c r="D82" i="3" a="1"/>
  <c r="D82" i="3" s="1"/>
  <c r="D69" i="3" a="1"/>
  <c r="D69" i="3" s="1"/>
  <c r="D62" i="3" a="1"/>
  <c r="D62" i="3" s="1"/>
  <c r="F62" i="3" s="1"/>
  <c r="D56" i="3" a="1"/>
  <c r="D56" i="3" s="1"/>
  <c r="D50" i="3" a="1"/>
  <c r="D50" i="3" s="1"/>
  <c r="F50" i="3" s="1"/>
  <c r="D36" i="3" a="1"/>
  <c r="D36" i="3" s="1"/>
  <c r="F36" i="3" s="1"/>
  <c r="D30" i="3" a="1"/>
  <c r="D30" i="3" s="1"/>
  <c r="F30" i="3" s="1"/>
  <c r="D23" i="3" a="1"/>
  <c r="D23" i="3" s="1"/>
  <c r="F23" i="3" s="1"/>
  <c r="D17" i="3" a="1"/>
  <c r="D17" i="3" s="1"/>
  <c r="F17" i="3" s="1"/>
  <c r="D10" i="3" a="1"/>
  <c r="D10" i="3" s="1"/>
  <c r="F10" i="3" s="1"/>
  <c r="D424" i="3" a="1"/>
  <c r="D424" i="3" s="1"/>
  <c r="F424" i="3" s="1"/>
  <c r="D416" i="3" a="1"/>
  <c r="D416" i="3" s="1"/>
  <c r="F416" i="3" s="1"/>
  <c r="D408" i="3" a="1"/>
  <c r="D408" i="3" s="1"/>
  <c r="F408" i="3" s="1"/>
  <c r="D400" i="3" a="1"/>
  <c r="D400" i="3" s="1"/>
  <c r="F400" i="3" s="1"/>
  <c r="D392" i="3" a="1"/>
  <c r="D392" i="3" s="1"/>
  <c r="F392" i="3" s="1"/>
  <c r="D384" i="3" a="1"/>
  <c r="D384" i="3" s="1"/>
  <c r="F384" i="3" s="1"/>
  <c r="D376" i="3" a="1"/>
  <c r="D376" i="3" s="1"/>
  <c r="F376" i="3" s="1"/>
  <c r="D368" i="3" a="1"/>
  <c r="D368" i="3" s="1"/>
  <c r="F368" i="3" s="1"/>
  <c r="D360" i="3" a="1"/>
  <c r="D360" i="3" s="1"/>
  <c r="D352" i="3" a="1"/>
  <c r="D352" i="3" s="1"/>
  <c r="F352" i="3" s="1"/>
  <c r="D344" i="3" a="1"/>
  <c r="D344" i="3" s="1"/>
  <c r="F344" i="3" s="1"/>
  <c r="D336" i="3" a="1"/>
  <c r="D336" i="3" s="1"/>
  <c r="F336" i="3" s="1"/>
  <c r="D328" i="3" a="1"/>
  <c r="D328" i="3" s="1"/>
  <c r="F328" i="3" s="1"/>
  <c r="D320" i="3" a="1"/>
  <c r="D320" i="3" s="1"/>
  <c r="F320" i="3" s="1"/>
  <c r="D312" i="3" a="1"/>
  <c r="D312" i="3" s="1"/>
  <c r="D304" i="3" a="1"/>
  <c r="D304" i="3" s="1"/>
  <c r="F304" i="3" s="1"/>
  <c r="D296" i="3" a="1"/>
  <c r="D296" i="3" s="1"/>
  <c r="F296" i="3" s="1"/>
  <c r="D288" i="3" a="1"/>
  <c r="D288" i="3" s="1"/>
  <c r="D280" i="3" a="1"/>
  <c r="D280" i="3" s="1"/>
  <c r="F280" i="3" s="1"/>
  <c r="D272" i="3" a="1"/>
  <c r="D272" i="3" s="1"/>
  <c r="F272" i="3" s="1"/>
  <c r="D264" i="3" a="1"/>
  <c r="D264" i="3" s="1"/>
  <c r="F264" i="3" s="1"/>
  <c r="D258" i="3" a="1"/>
  <c r="D258" i="3" s="1"/>
  <c r="F258" i="3" s="1"/>
  <c r="D245" i="3" a="1"/>
  <c r="D245" i="3" s="1"/>
  <c r="F245" i="3" s="1"/>
  <c r="D238" i="3" a="1"/>
  <c r="D238" i="3" s="1"/>
  <c r="D232" i="3" a="1"/>
  <c r="D232" i="3" s="1"/>
  <c r="F232" i="3" s="1"/>
  <c r="D225" i="3" a="1"/>
  <c r="D225" i="3" s="1"/>
  <c r="F225" i="3" s="1"/>
  <c r="D219" i="3" a="1"/>
  <c r="D219" i="3" s="1"/>
  <c r="D205" i="3" a="1"/>
  <c r="D205" i="3" s="1"/>
  <c r="D199" i="3" a="1"/>
  <c r="D199" i="3" s="1"/>
  <c r="F199" i="3" s="1"/>
  <c r="D193" i="3" a="1"/>
  <c r="D193" i="3" s="1"/>
  <c r="D186" i="3" a="1"/>
  <c r="D186" i="3" s="1"/>
  <c r="F186" i="3" s="1"/>
  <c r="D173" i="3" a="1"/>
  <c r="D173" i="3" s="1"/>
  <c r="F173" i="3" s="1"/>
  <c r="D166" i="3" a="1"/>
  <c r="D166" i="3" s="1"/>
  <c r="D160" i="3" a="1"/>
  <c r="D160" i="3" s="1"/>
  <c r="F160" i="3" s="1"/>
  <c r="D153" i="3" a="1"/>
  <c r="D153" i="3" s="1"/>
  <c r="F153" i="3" s="1"/>
  <c r="D147" i="3" a="1"/>
  <c r="D147" i="3" s="1"/>
  <c r="D133" i="3" a="1"/>
  <c r="D133" i="3" s="1"/>
  <c r="D127" i="3" a="1"/>
  <c r="D127" i="3" s="1"/>
  <c r="F127" i="3" s="1"/>
  <c r="D121" i="3" a="1"/>
  <c r="D121" i="3" s="1"/>
  <c r="F121" i="3" s="1"/>
  <c r="D114" i="3" a="1"/>
  <c r="D114" i="3" s="1"/>
  <c r="F114" i="3" s="1"/>
  <c r="D101" i="3" a="1"/>
  <c r="D101" i="3" s="1"/>
  <c r="F101" i="3" s="1"/>
  <c r="D94" i="3" a="1"/>
  <c r="D94" i="3" s="1"/>
  <c r="D88" i="3" a="1"/>
  <c r="D88" i="3" s="1"/>
  <c r="F88" i="3" s="1"/>
  <c r="D81" i="3" a="1"/>
  <c r="D81" i="3" s="1"/>
  <c r="D75" i="3" a="1"/>
  <c r="D75" i="3" s="1"/>
  <c r="D61" i="3" a="1"/>
  <c r="D61" i="3" s="1"/>
  <c r="D55" i="3" a="1"/>
  <c r="D55" i="3" s="1"/>
  <c r="F55" i="3" s="1"/>
  <c r="D49" i="3" a="1"/>
  <c r="D49" i="3" s="1"/>
  <c r="F49" i="3" s="1"/>
  <c r="D42" i="3" a="1"/>
  <c r="D42" i="3" s="1"/>
  <c r="D29" i="3" a="1"/>
  <c r="D29" i="3" s="1"/>
  <c r="F29" i="3" s="1"/>
  <c r="D22" i="3" a="1"/>
  <c r="D22" i="3" s="1"/>
  <c r="F22" i="3" s="1"/>
  <c r="D16" i="3" a="1"/>
  <c r="D16" i="3" s="1"/>
  <c r="F16" i="3" s="1"/>
  <c r="D9" i="3" a="1"/>
  <c r="D9" i="3" s="1"/>
  <c r="D423" i="3" a="1"/>
  <c r="D423" i="3" s="1"/>
  <c r="D415" i="3" a="1"/>
  <c r="D415" i="3" s="1"/>
  <c r="F415" i="3" s="1"/>
  <c r="D407" i="3" a="1"/>
  <c r="D407" i="3" s="1"/>
  <c r="F407" i="3" s="1"/>
  <c r="D399" i="3" a="1"/>
  <c r="D399" i="3" s="1"/>
  <c r="D391" i="3" a="1"/>
  <c r="D391" i="3" s="1"/>
  <c r="F391" i="3" s="1"/>
  <c r="D383" i="3" a="1"/>
  <c r="D383" i="3" s="1"/>
  <c r="F383" i="3" s="1"/>
  <c r="D375" i="3" a="1"/>
  <c r="D375" i="3" s="1"/>
  <c r="F375" i="3" s="1"/>
  <c r="D367" i="3" a="1"/>
  <c r="D367" i="3" s="1"/>
  <c r="F367" i="3" s="1"/>
  <c r="D359" i="3" a="1"/>
  <c r="D359" i="3" s="1"/>
  <c r="F359" i="3" s="1"/>
  <c r="D351" i="3" a="1"/>
  <c r="D351" i="3" s="1"/>
  <c r="F351" i="3" s="1"/>
  <c r="D343" i="3" a="1"/>
  <c r="D343" i="3" s="1"/>
  <c r="D335" i="3" a="1"/>
  <c r="D335" i="3" s="1"/>
  <c r="F335" i="3" s="1"/>
  <c r="D327" i="3" a="1"/>
  <c r="D327" i="3" s="1"/>
  <c r="D319" i="3" a="1"/>
  <c r="D319" i="3" s="1"/>
  <c r="D311" i="3" a="1"/>
  <c r="D311" i="3" s="1"/>
  <c r="F311" i="3" s="1"/>
  <c r="D303" i="3" a="1"/>
  <c r="D303" i="3" s="1"/>
  <c r="F303" i="3" s="1"/>
  <c r="D295" i="3" a="1"/>
  <c r="D295" i="3" s="1"/>
  <c r="D287" i="3" a="1"/>
  <c r="D287" i="3" s="1"/>
  <c r="F287" i="3" s="1"/>
  <c r="D279" i="3" a="1"/>
  <c r="D279" i="3" s="1"/>
  <c r="F279" i="3" s="1"/>
  <c r="D271" i="3" a="1"/>
  <c r="D271" i="3" s="1"/>
  <c r="F271" i="3" s="1"/>
  <c r="D263" i="3" a="1"/>
  <c r="D263" i="3" s="1"/>
  <c r="F263" i="3" s="1"/>
  <c r="D257" i="3" a="1"/>
  <c r="D257" i="3" s="1"/>
  <c r="F257" i="3" s="1"/>
  <c r="D251" i="3" a="1"/>
  <c r="D251" i="3" s="1"/>
  <c r="F251" i="3" s="1"/>
  <c r="D244" i="3" a="1"/>
  <c r="D244" i="3" s="1"/>
  <c r="F244" i="3" s="1"/>
  <c r="D231" i="3" a="1"/>
  <c r="D231" i="3" s="1"/>
  <c r="D224" i="3" a="1"/>
  <c r="D224" i="3" s="1"/>
  <c r="F224" i="3" s="1"/>
  <c r="D218" i="3" a="1"/>
  <c r="D218" i="3" s="1"/>
  <c r="F218" i="3" s="1"/>
  <c r="D212" i="3" a="1"/>
  <c r="D212" i="3" s="1"/>
  <c r="D198" i="3" a="1"/>
  <c r="D198" i="3" s="1"/>
  <c r="F198" i="3" s="1"/>
  <c r="D192" i="3" a="1"/>
  <c r="D192" i="3" s="1"/>
  <c r="F192" i="3" s="1"/>
  <c r="D185" i="3" a="1"/>
  <c r="D185" i="3" s="1"/>
  <c r="F185" i="3" s="1"/>
  <c r="D179" i="3" a="1"/>
  <c r="D179" i="3" s="1"/>
  <c r="F179" i="3" s="1"/>
  <c r="D172" i="3" a="1"/>
  <c r="D172" i="3" s="1"/>
  <c r="F172" i="3" s="1"/>
  <c r="D159" i="3" a="1"/>
  <c r="D159" i="3" s="1"/>
  <c r="D152" i="3" a="1"/>
  <c r="D152" i="3" s="1"/>
  <c r="F152" i="3" s="1"/>
  <c r="D146" i="3" a="1"/>
  <c r="D146" i="3" s="1"/>
  <c r="F146" i="3" s="1"/>
  <c r="D140" i="3" a="1"/>
  <c r="D140" i="3" s="1"/>
  <c r="D126" i="3" a="1"/>
  <c r="D126" i="3" s="1"/>
  <c r="F126" i="3" s="1"/>
  <c r="D120" i="3" a="1"/>
  <c r="D120" i="3" s="1"/>
  <c r="F120" i="3" s="1"/>
  <c r="D113" i="3" a="1"/>
  <c r="D113" i="3" s="1"/>
  <c r="F113" i="3" s="1"/>
  <c r="D107" i="3" a="1"/>
  <c r="D107" i="3" s="1"/>
  <c r="F107" i="3" s="1"/>
  <c r="D100" i="3" a="1"/>
  <c r="D100" i="3" s="1"/>
  <c r="F100" i="3" s="1"/>
  <c r="D87" i="3" a="1"/>
  <c r="D87" i="3" s="1"/>
  <c r="D80" i="3" a="1"/>
  <c r="D80" i="3" s="1"/>
  <c r="F80" i="3" s="1"/>
  <c r="D74" i="3" a="1"/>
  <c r="D74" i="3" s="1"/>
  <c r="F74" i="3" s="1"/>
  <c r="D68" i="3" a="1"/>
  <c r="D68" i="3" s="1"/>
  <c r="F68" i="3" s="1"/>
  <c r="D54" i="3" a="1"/>
  <c r="D54" i="3" s="1"/>
  <c r="F54" i="3" s="1"/>
  <c r="D48" i="3" a="1"/>
  <c r="D48" i="3" s="1"/>
  <c r="D41" i="3" a="1"/>
  <c r="D41" i="3" s="1"/>
  <c r="F41" i="3" s="1"/>
  <c r="D35" i="3" a="1"/>
  <c r="D35" i="3" s="1"/>
  <c r="F35" i="3" s="1"/>
  <c r="D28" i="3" a="1"/>
  <c r="D28" i="3" s="1"/>
  <c r="F28" i="3" s="1"/>
  <c r="D15" i="3" a="1"/>
  <c r="D15" i="3" s="1"/>
  <c r="D8" i="3" a="1"/>
  <c r="D8" i="3" s="1"/>
  <c r="F8" i="3" s="1"/>
  <c r="D422" i="3" a="1"/>
  <c r="D422" i="3" s="1"/>
  <c r="F422" i="3" s="1"/>
  <c r="D414" i="3" a="1"/>
  <c r="D414" i="3" s="1"/>
  <c r="F414" i="3" s="1"/>
  <c r="D406" i="3" a="1"/>
  <c r="D406" i="3" s="1"/>
  <c r="F406" i="3" s="1"/>
  <c r="D398" i="3" a="1"/>
  <c r="D398" i="3" s="1"/>
  <c r="F398" i="3" s="1"/>
  <c r="D390" i="3" a="1"/>
  <c r="D390" i="3" s="1"/>
  <c r="F390" i="3" s="1"/>
  <c r="D382" i="3" a="1"/>
  <c r="D382" i="3" s="1"/>
  <c r="F382" i="3" s="1"/>
  <c r="D374" i="3" a="1"/>
  <c r="D374" i="3" s="1"/>
  <c r="F374" i="3" s="1"/>
  <c r="D366" i="3" a="1"/>
  <c r="D366" i="3" s="1"/>
  <c r="F366" i="3" s="1"/>
  <c r="D358" i="3" a="1"/>
  <c r="D358" i="3" s="1"/>
  <c r="F358" i="3" s="1"/>
  <c r="D350" i="3" a="1"/>
  <c r="D350" i="3" s="1"/>
  <c r="F350" i="3" s="1"/>
  <c r="D342" i="3" a="1"/>
  <c r="D342" i="3" s="1"/>
  <c r="F342" i="3" s="1"/>
  <c r="D334" i="3" a="1"/>
  <c r="D334" i="3" s="1"/>
  <c r="F334" i="3" s="1"/>
  <c r="D326" i="3" a="1"/>
  <c r="D326" i="3" s="1"/>
  <c r="F326" i="3" s="1"/>
  <c r="D318" i="3" a="1"/>
  <c r="D318" i="3" s="1"/>
  <c r="F318" i="3" s="1"/>
  <c r="D310" i="3" a="1"/>
  <c r="D310" i="3" s="1"/>
  <c r="F310" i="3" s="1"/>
  <c r="D302" i="3" a="1"/>
  <c r="D302" i="3" s="1"/>
  <c r="F302" i="3" s="1"/>
  <c r="D294" i="3" a="1"/>
  <c r="D294" i="3" s="1"/>
  <c r="F294" i="3" s="1"/>
  <c r="D286" i="3" a="1"/>
  <c r="D286" i="3" s="1"/>
  <c r="F286" i="3" s="1"/>
  <c r="D278" i="3" a="1"/>
  <c r="D278" i="3" s="1"/>
  <c r="F278" i="3" s="1"/>
  <c r="D270" i="3" a="1"/>
  <c r="D270" i="3" s="1"/>
  <c r="F270" i="3" s="1"/>
  <c r="D256" i="3" a="1"/>
  <c r="D256" i="3" s="1"/>
  <c r="F256" i="3" s="1"/>
  <c r="D250" i="3" a="1"/>
  <c r="D250" i="3" s="1"/>
  <c r="F250" i="3" s="1"/>
  <c r="D243" i="3" a="1"/>
  <c r="D243" i="3" s="1"/>
  <c r="D237" i="3" a="1"/>
  <c r="D237" i="3" s="1"/>
  <c r="D223" i="3" a="1"/>
  <c r="D223" i="3" s="1"/>
  <c r="D217" i="3" a="1"/>
  <c r="D217" i="3" s="1"/>
  <c r="F217" i="3" s="1"/>
  <c r="D211" i="3" a="1"/>
  <c r="D211" i="3" s="1"/>
  <c r="D204" i="3" a="1"/>
  <c r="D204" i="3" s="1"/>
  <c r="F204" i="3" s="1"/>
  <c r="D191" i="3" a="1"/>
  <c r="D191" i="3" s="1"/>
  <c r="F191" i="3" s="1"/>
  <c r="D184" i="3" a="1"/>
  <c r="D184" i="3" s="1"/>
  <c r="F184" i="3" s="1"/>
  <c r="D178" i="3" a="1"/>
  <c r="D178" i="3" s="1"/>
  <c r="F178" i="3" s="1"/>
  <c r="D171" i="3" a="1"/>
  <c r="D171" i="3" s="1"/>
  <c r="F171" i="3" s="1"/>
  <c r="D165" i="3" a="1"/>
  <c r="D165" i="3" s="1"/>
  <c r="D151" i="3" a="1"/>
  <c r="D151" i="3" s="1"/>
  <c r="D145" i="3" a="1"/>
  <c r="D145" i="3" s="1"/>
  <c r="F145" i="3" s="1"/>
  <c r="D139" i="3" a="1"/>
  <c r="D139" i="3" s="1"/>
  <c r="F139" i="3" s="1"/>
  <c r="D132" i="3" a="1"/>
  <c r="D132" i="3" s="1"/>
  <c r="F132" i="3" s="1"/>
  <c r="D119" i="3" a="1"/>
  <c r="D119" i="3" s="1"/>
  <c r="F119" i="3" s="1"/>
  <c r="D112" i="3" a="1"/>
  <c r="D112" i="3" s="1"/>
  <c r="F112" i="3" s="1"/>
  <c r="D106" i="3" a="1"/>
  <c r="D106" i="3" s="1"/>
  <c r="F106" i="3" s="1"/>
  <c r="D99" i="3" a="1"/>
  <c r="D99" i="3" s="1"/>
  <c r="F99" i="3" s="1"/>
  <c r="D93" i="3" a="1"/>
  <c r="D93" i="3" s="1"/>
  <c r="D79" i="3" a="1"/>
  <c r="D79" i="3" s="1"/>
  <c r="D73" i="3" a="1"/>
  <c r="D73" i="3" s="1"/>
  <c r="F73" i="3" s="1"/>
  <c r="D67" i="3" a="1"/>
  <c r="D67" i="3" s="1"/>
  <c r="F67" i="3" s="1"/>
  <c r="D60" i="3" a="1"/>
  <c r="D60" i="3" s="1"/>
  <c r="F60" i="3" s="1"/>
  <c r="D47" i="3" a="1"/>
  <c r="D47" i="3" s="1"/>
  <c r="F47" i="3" s="1"/>
  <c r="D40" i="3" a="1"/>
  <c r="D40" i="3" s="1"/>
  <c r="F40" i="3" s="1"/>
  <c r="D34" i="3" a="1"/>
  <c r="D34" i="3" s="1"/>
  <c r="F34" i="3" s="1"/>
  <c r="D27" i="3" a="1"/>
  <c r="D27" i="3" s="1"/>
  <c r="D21" i="3" a="1"/>
  <c r="D21" i="3" s="1"/>
  <c r="D7" i="3" a="1"/>
  <c r="D7" i="3" s="1"/>
  <c r="D421" i="3" a="1"/>
  <c r="D421" i="3" s="1"/>
  <c r="F421" i="3" s="1"/>
  <c r="D413" i="3" a="1"/>
  <c r="D413" i="3" s="1"/>
  <c r="F413" i="3" s="1"/>
  <c r="D405" i="3" a="1"/>
  <c r="D405" i="3" s="1"/>
  <c r="F405" i="3" s="1"/>
  <c r="D397" i="3" a="1"/>
  <c r="D397" i="3" s="1"/>
  <c r="D389" i="3" a="1"/>
  <c r="D389" i="3" s="1"/>
  <c r="F389" i="3" s="1"/>
  <c r="D381" i="3" a="1"/>
  <c r="D381" i="3" s="1"/>
  <c r="F381" i="3" s="1"/>
  <c r="D373" i="3" a="1"/>
  <c r="D373" i="3" s="1"/>
  <c r="F373" i="3" s="1"/>
  <c r="D365" i="3" a="1"/>
  <c r="D365" i="3" s="1"/>
  <c r="F365" i="3" s="1"/>
  <c r="D357" i="3" a="1"/>
  <c r="D357" i="3" s="1"/>
  <c r="F357" i="3" s="1"/>
  <c r="D349" i="3" a="1"/>
  <c r="D349" i="3" s="1"/>
  <c r="F349" i="3" s="1"/>
  <c r="D341" i="3" a="1"/>
  <c r="D341" i="3" s="1"/>
  <c r="F341" i="3" s="1"/>
  <c r="D333" i="3" a="1"/>
  <c r="D333" i="3" s="1"/>
  <c r="D325" i="3" a="1"/>
  <c r="D325" i="3" s="1"/>
  <c r="D317" i="3" a="1"/>
  <c r="D317" i="3" s="1"/>
  <c r="F317" i="3" s="1"/>
  <c r="D309" i="3" a="1"/>
  <c r="D309" i="3" s="1"/>
  <c r="F309" i="3" s="1"/>
  <c r="D301" i="3" a="1"/>
  <c r="D301" i="3" s="1"/>
  <c r="D293" i="3" a="1"/>
  <c r="D293" i="3" s="1"/>
  <c r="F293" i="3" s="1"/>
  <c r="D285" i="3" a="1"/>
  <c r="D285" i="3" s="1"/>
  <c r="F285" i="3" s="1"/>
  <c r="D277" i="3" a="1"/>
  <c r="D277" i="3" s="1"/>
  <c r="D269" i="3" a="1"/>
  <c r="D269" i="3" s="1"/>
  <c r="F269" i="3" s="1"/>
  <c r="D262" i="3" a="1"/>
  <c r="D262" i="3" s="1"/>
  <c r="F262" i="3" s="1"/>
  <c r="D249" i="3" a="1"/>
  <c r="D249" i="3" s="1"/>
  <c r="F249" i="3" s="1"/>
  <c r="D242" i="3" a="1"/>
  <c r="D242" i="3" s="1"/>
  <c r="F242" i="3" s="1"/>
  <c r="D236" i="3" a="1"/>
  <c r="D236" i="3" s="1"/>
  <c r="F236" i="3" s="1"/>
  <c r="D230" i="3" a="1"/>
  <c r="D230" i="3" s="1"/>
  <c r="F230" i="3" s="1"/>
  <c r="D216" i="3" a="1"/>
  <c r="D216" i="3" s="1"/>
  <c r="F216" i="3" s="1"/>
  <c r="D210" i="3" a="1"/>
  <c r="D210" i="3" s="1"/>
  <c r="F210" i="3" s="1"/>
  <c r="D203" i="3" a="1"/>
  <c r="D203" i="3" s="1"/>
  <c r="F203" i="3" s="1"/>
  <c r="D197" i="3" a="1"/>
  <c r="D197" i="3" s="1"/>
  <c r="F197" i="3" s="1"/>
  <c r="D190" i="3" a="1"/>
  <c r="D190" i="3" s="1"/>
  <c r="F190" i="3" s="1"/>
  <c r="D177" i="3" a="1"/>
  <c r="D177" i="3" s="1"/>
  <c r="D170" i="3" a="1"/>
  <c r="D170" i="3" s="1"/>
  <c r="F170" i="3" s="1"/>
  <c r="D164" i="3" a="1"/>
  <c r="D164" i="3" s="1"/>
  <c r="F164" i="3" s="1"/>
  <c r="D158" i="3" a="1"/>
  <c r="D158" i="3" s="1"/>
  <c r="F158" i="3" s="1"/>
  <c r="D144" i="3" a="1"/>
  <c r="D144" i="3" s="1"/>
  <c r="F144" i="3" s="1"/>
  <c r="D138" i="3" a="1"/>
  <c r="D138" i="3" s="1"/>
  <c r="F138" i="3" s="1"/>
  <c r="D131" i="3" a="1"/>
  <c r="D131" i="3" s="1"/>
  <c r="D125" i="3" a="1"/>
  <c r="D125" i="3" s="1"/>
  <c r="F125" i="3" s="1"/>
  <c r="D118" i="3" a="1"/>
  <c r="D118" i="3" s="1"/>
  <c r="F118" i="3" s="1"/>
  <c r="D105" i="3" a="1"/>
  <c r="D105" i="3" s="1"/>
  <c r="D98" i="3" a="1"/>
  <c r="D98" i="3" s="1"/>
  <c r="F98" i="3" s="1"/>
  <c r="D92" i="3" a="1"/>
  <c r="D92" i="3" s="1"/>
  <c r="F92" i="3" s="1"/>
  <c r="D86" i="3" a="1"/>
  <c r="D86" i="3" s="1"/>
  <c r="F86" i="3" s="1"/>
  <c r="D72" i="3" a="1"/>
  <c r="D72" i="3" s="1"/>
  <c r="F72" i="3" s="1"/>
  <c r="D66" i="3" a="1"/>
  <c r="D66" i="3" s="1"/>
  <c r="F66" i="3" s="1"/>
  <c r="D59" i="3" a="1"/>
  <c r="D59" i="3" s="1"/>
  <c r="F59" i="3" s="1"/>
  <c r="D53" i="3" a="1"/>
  <c r="D53" i="3" s="1"/>
  <c r="F53" i="3" s="1"/>
  <c r="D46" i="3" a="1"/>
  <c r="D46" i="3" s="1"/>
  <c r="F46" i="3" s="1"/>
  <c r="D33" i="3" a="1"/>
  <c r="D33" i="3" s="1"/>
  <c r="D26" i="3" a="1"/>
  <c r="D26" i="3" s="1"/>
  <c r="F26" i="3" s="1"/>
  <c r="D20" i="3" a="1"/>
  <c r="D20" i="3" s="1"/>
  <c r="F20" i="3" s="1"/>
  <c r="D14" i="3" a="1"/>
  <c r="D14" i="3" s="1"/>
  <c r="F14" i="3" s="1"/>
  <c r="D241" i="3" a="1"/>
  <c r="D241" i="3" s="1"/>
  <c r="D209" i="3" a="1"/>
  <c r="D209" i="3" s="1"/>
  <c r="F209" i="3" s="1"/>
  <c r="D169" i="3" a="1"/>
  <c r="D169" i="3" s="1"/>
  <c r="D137" i="3" a="1"/>
  <c r="D137" i="3" s="1"/>
  <c r="F137" i="3" s="1"/>
  <c r="D97" i="3" a="1"/>
  <c r="D97" i="3" s="1"/>
  <c r="D65" i="3" a="1"/>
  <c r="D65" i="3" s="1"/>
  <c r="F65" i="3" s="1"/>
  <c r="D25" i="3" a="1"/>
  <c r="D25" i="3" s="1"/>
  <c r="D3" i="3" a="1"/>
  <c r="D3" i="3" s="1"/>
  <c r="D419" i="3" a="1"/>
  <c r="D419" i="3" s="1"/>
  <c r="F419" i="3" s="1"/>
  <c r="D411" i="3" a="1"/>
  <c r="D411" i="3" s="1"/>
  <c r="F411" i="3" s="1"/>
  <c r="D403" i="3" a="1"/>
  <c r="D403" i="3" s="1"/>
  <c r="F403" i="3" s="1"/>
  <c r="D395" i="3" a="1"/>
  <c r="D395" i="3" s="1"/>
  <c r="F395" i="3" s="1"/>
  <c r="D387" i="3" a="1"/>
  <c r="D387" i="3" s="1"/>
  <c r="F387" i="3" s="1"/>
  <c r="D379" i="3" a="1"/>
  <c r="D379" i="3" s="1"/>
  <c r="F379" i="3" s="1"/>
  <c r="D371" i="3" a="1"/>
  <c r="D371" i="3" s="1"/>
  <c r="F371" i="3" s="1"/>
  <c r="D363" i="3" a="1"/>
  <c r="D363" i="3" s="1"/>
  <c r="F363" i="3" s="1"/>
  <c r="D355" i="3" a="1"/>
  <c r="D355" i="3" s="1"/>
  <c r="F355" i="3" s="1"/>
  <c r="D347" i="3" a="1"/>
  <c r="D347" i="3" s="1"/>
  <c r="F347" i="3" s="1"/>
  <c r="D339" i="3" a="1"/>
  <c r="D339" i="3" s="1"/>
  <c r="F339" i="3" s="1"/>
  <c r="D331" i="3" a="1"/>
  <c r="D331" i="3" s="1"/>
  <c r="D323" i="3" a="1"/>
  <c r="D323" i="3" s="1"/>
  <c r="F323" i="3" s="1"/>
  <c r="D315" i="3" a="1"/>
  <c r="D315" i="3" s="1"/>
  <c r="D307" i="3" a="1"/>
  <c r="D307" i="3" s="1"/>
  <c r="F307" i="3" s="1"/>
  <c r="D299" i="3" a="1"/>
  <c r="D299" i="3" s="1"/>
  <c r="F299" i="3" s="1"/>
  <c r="D291" i="3" a="1"/>
  <c r="D291" i="3" s="1"/>
  <c r="D283" i="3" a="1"/>
  <c r="D283" i="3" s="1"/>
  <c r="D275" i="3" a="1"/>
  <c r="D275" i="3" s="1"/>
  <c r="F275" i="3" s="1"/>
  <c r="D267" i="3" a="1"/>
  <c r="D267" i="3" s="1"/>
  <c r="F267" i="3" s="1"/>
  <c r="D260" i="3" a="1"/>
  <c r="D260" i="3" s="1"/>
  <c r="F260" i="3" s="1"/>
  <c r="D254" i="3" a="1"/>
  <c r="D254" i="3" s="1"/>
  <c r="F254" i="3" s="1"/>
  <c r="D248" i="3" a="1"/>
  <c r="D248" i="3" s="1"/>
  <c r="F248" i="3" s="1"/>
  <c r="D234" i="3" a="1"/>
  <c r="D234" i="3" s="1"/>
  <c r="F234" i="3" s="1"/>
  <c r="D228" i="3" a="1"/>
  <c r="D228" i="3" s="1"/>
  <c r="F228" i="3" s="1"/>
  <c r="D221" i="3" a="1"/>
  <c r="D221" i="3" s="1"/>
  <c r="F221" i="3" s="1"/>
  <c r="D215" i="3" a="1"/>
  <c r="D215" i="3" s="1"/>
  <c r="F215" i="3" s="1"/>
  <c r="D208" i="3" a="1"/>
  <c r="D208" i="3" s="1"/>
  <c r="F208" i="3" s="1"/>
  <c r="D195" i="3" a="1"/>
  <c r="D195" i="3" s="1"/>
  <c r="D188" i="3" a="1"/>
  <c r="D188" i="3" s="1"/>
  <c r="F188" i="3" s="1"/>
  <c r="D182" i="3" a="1"/>
  <c r="D182" i="3" s="1"/>
  <c r="F182" i="3" s="1"/>
  <c r="D176" i="3" a="1"/>
  <c r="D176" i="3" s="1"/>
  <c r="F176" i="3" s="1"/>
  <c r="D162" i="3" a="1"/>
  <c r="D162" i="3" s="1"/>
  <c r="F162" i="3" s="1"/>
  <c r="D156" i="3" a="1"/>
  <c r="D156" i="3" s="1"/>
  <c r="F156" i="3" s="1"/>
  <c r="D149" i="3" a="1"/>
  <c r="D149" i="3" s="1"/>
  <c r="F149" i="3" s="1"/>
  <c r="D143" i="3" a="1"/>
  <c r="D143" i="3" s="1"/>
  <c r="F143" i="3" s="1"/>
  <c r="D136" i="3" a="1"/>
  <c r="D136" i="3" s="1"/>
  <c r="F136" i="3" s="1"/>
  <c r="D123" i="3" a="1"/>
  <c r="D123" i="3" s="1"/>
  <c r="F123" i="3" s="1"/>
  <c r="D116" i="3" a="1"/>
  <c r="D116" i="3" s="1"/>
  <c r="F116" i="3" s="1"/>
  <c r="D110" i="3" a="1"/>
  <c r="D110" i="3" s="1"/>
  <c r="F110" i="3" s="1"/>
  <c r="D104" i="3" a="1"/>
  <c r="D104" i="3" s="1"/>
  <c r="F104" i="3" s="1"/>
  <c r="D90" i="3" a="1"/>
  <c r="D90" i="3" s="1"/>
  <c r="F90" i="3" s="1"/>
  <c r="D84" i="3" a="1"/>
  <c r="D84" i="3" s="1"/>
  <c r="F84" i="3" s="1"/>
  <c r="D77" i="3" a="1"/>
  <c r="D77" i="3" s="1"/>
  <c r="F77" i="3" s="1"/>
  <c r="D71" i="3" a="1"/>
  <c r="D71" i="3" s="1"/>
  <c r="F71" i="3" s="1"/>
  <c r="D64" i="3" a="1"/>
  <c r="D64" i="3" s="1"/>
  <c r="F64" i="3" s="1"/>
  <c r="D51" i="3" a="1"/>
  <c r="D51" i="3" s="1"/>
  <c r="D44" i="3" a="1"/>
  <c r="D44" i="3" s="1"/>
  <c r="F44" i="3" s="1"/>
  <c r="D38" i="3" a="1"/>
  <c r="D38" i="3" s="1"/>
  <c r="F38" i="3" s="1"/>
  <c r="D32" i="3" a="1"/>
  <c r="D32" i="3" s="1"/>
  <c r="F32" i="3" s="1"/>
  <c r="D18" i="3" a="1"/>
  <c r="D18" i="3" s="1"/>
  <c r="D12" i="3" a="1"/>
  <c r="D12" i="3" s="1"/>
  <c r="F12" i="3" s="1"/>
  <c r="D5" i="3" a="1"/>
  <c r="D5" i="3" s="1"/>
  <c r="F5" i="3" s="1"/>
  <c r="D426" i="3" a="1"/>
  <c r="D426" i="3" s="1"/>
  <c r="F426" i="3" s="1"/>
  <c r="D418" i="3" a="1"/>
  <c r="D418" i="3" s="1"/>
  <c r="F418" i="3" s="1"/>
  <c r="D410" i="3" a="1"/>
  <c r="D410" i="3" s="1"/>
  <c r="F410" i="3" s="1"/>
  <c r="D402" i="3" a="1"/>
  <c r="D402" i="3" s="1"/>
  <c r="F402" i="3" s="1"/>
  <c r="D394" i="3" a="1"/>
  <c r="D394" i="3" s="1"/>
  <c r="F394" i="3" s="1"/>
  <c r="D386" i="3" a="1"/>
  <c r="D386" i="3" s="1"/>
  <c r="F386" i="3" s="1"/>
  <c r="D378" i="3" a="1"/>
  <c r="D378" i="3" s="1"/>
  <c r="F378" i="3" s="1"/>
  <c r="D370" i="3" a="1"/>
  <c r="D370" i="3" s="1"/>
  <c r="F370" i="3" s="1"/>
  <c r="D362" i="3" a="1"/>
  <c r="D362" i="3" s="1"/>
  <c r="F362" i="3" s="1"/>
  <c r="D354" i="3" a="1"/>
  <c r="D354" i="3" s="1"/>
  <c r="F354" i="3" s="1"/>
  <c r="D346" i="3" a="1"/>
  <c r="D346" i="3" s="1"/>
  <c r="F346" i="3" s="1"/>
  <c r="D338" i="3" a="1"/>
  <c r="D338" i="3" s="1"/>
  <c r="F338" i="3" s="1"/>
  <c r="D330" i="3" a="1"/>
  <c r="D330" i="3" s="1"/>
  <c r="F330" i="3" s="1"/>
  <c r="D322" i="3" a="1"/>
  <c r="D322" i="3" s="1"/>
  <c r="F322" i="3" s="1"/>
  <c r="D314" i="3" a="1"/>
  <c r="D314" i="3" s="1"/>
  <c r="F314" i="3" s="1"/>
  <c r="D306" i="3" a="1"/>
  <c r="D306" i="3" s="1"/>
  <c r="F306" i="3" s="1"/>
  <c r="D298" i="3" a="1"/>
  <c r="D298" i="3" s="1"/>
  <c r="F298" i="3" s="1"/>
  <c r="D290" i="3" a="1"/>
  <c r="D290" i="3" s="1"/>
  <c r="F290" i="3" s="1"/>
  <c r="D282" i="3" a="1"/>
  <c r="D282" i="3" s="1"/>
  <c r="F282" i="3" s="1"/>
  <c r="D274" i="3" a="1"/>
  <c r="D274" i="3" s="1"/>
  <c r="F274" i="3" s="1"/>
  <c r="D266" i="3" a="1"/>
  <c r="D266" i="3" s="1"/>
  <c r="F266" i="3" s="1"/>
  <c r="D259" i="3" a="1"/>
  <c r="D259" i="3" s="1"/>
  <c r="D253" i="3" a="1"/>
  <c r="D253" i="3" s="1"/>
  <c r="F253" i="3" s="1"/>
  <c r="D247" i="3" a="1"/>
  <c r="D247" i="3" s="1"/>
  <c r="D240" i="3" a="1"/>
  <c r="D240" i="3" s="1"/>
  <c r="F240" i="3" s="1"/>
  <c r="D227" i="3" a="1"/>
  <c r="D227" i="3" s="1"/>
  <c r="F227" i="3" s="1"/>
  <c r="D220" i="3" a="1"/>
  <c r="D220" i="3" s="1"/>
  <c r="F220" i="3" s="1"/>
  <c r="D214" i="3" a="1"/>
  <c r="D214" i="3" s="1"/>
  <c r="F214" i="3" s="1"/>
  <c r="D207" i="3" a="1"/>
  <c r="D207" i="3" s="1"/>
  <c r="F207" i="3" s="1"/>
  <c r="D201" i="3" a="1"/>
  <c r="D201" i="3" s="1"/>
  <c r="D187" i="3" a="1"/>
  <c r="D187" i="3" s="1"/>
  <c r="D181" i="3" a="1"/>
  <c r="D181" i="3" s="1"/>
  <c r="F181" i="3" s="1"/>
  <c r="D175" i="3" a="1"/>
  <c r="D175" i="3" s="1"/>
  <c r="D168" i="3" a="1"/>
  <c r="D168" i="3" s="1"/>
  <c r="F168" i="3" s="1"/>
  <c r="D155" i="3" a="1"/>
  <c r="D155" i="3" s="1"/>
  <c r="F155" i="3" s="1"/>
  <c r="D148" i="3" a="1"/>
  <c r="D148" i="3" s="1"/>
  <c r="F148" i="3" s="1"/>
  <c r="D142" i="3" a="1"/>
  <c r="D142" i="3" s="1"/>
  <c r="F142" i="3" s="1"/>
  <c r="D135" i="3" a="1"/>
  <c r="D135" i="3" s="1"/>
  <c r="F135" i="3" s="1"/>
  <c r="D129" i="3" a="1"/>
  <c r="D129" i="3" s="1"/>
  <c r="F129" i="3" s="1"/>
  <c r="D115" i="3" a="1"/>
  <c r="D115" i="3" s="1"/>
  <c r="D109" i="3" a="1"/>
  <c r="D109" i="3" s="1"/>
  <c r="F109" i="3" s="1"/>
  <c r="D103" i="3" a="1"/>
  <c r="D103" i="3" s="1"/>
  <c r="F103" i="3" s="1"/>
  <c r="D96" i="3" a="1"/>
  <c r="D96" i="3" s="1"/>
  <c r="F96" i="3" s="1"/>
  <c r="D83" i="3" a="1"/>
  <c r="D83" i="3" s="1"/>
  <c r="F83" i="3" s="1"/>
  <c r="D76" i="3" a="1"/>
  <c r="D76" i="3" s="1"/>
  <c r="F76" i="3" s="1"/>
  <c r="D70" i="3" a="1"/>
  <c r="D70" i="3" s="1"/>
  <c r="F70" i="3" s="1"/>
  <c r="D63" i="3" a="1"/>
  <c r="D63" i="3" s="1"/>
  <c r="D57" i="3" a="1"/>
  <c r="D57" i="3" s="1"/>
  <c r="D43" i="3" a="1"/>
  <c r="D43" i="3" s="1"/>
  <c r="D37" i="3" a="1"/>
  <c r="D37" i="3" s="1"/>
  <c r="F37" i="3" s="1"/>
  <c r="D31" i="3" a="1"/>
  <c r="D31" i="3" s="1"/>
  <c r="F31" i="3" s="1"/>
  <c r="D24" i="3" a="1"/>
  <c r="D24" i="3" s="1"/>
  <c r="F24" i="3" s="1"/>
  <c r="D11" i="3" a="1"/>
  <c r="D11" i="3" s="1"/>
  <c r="F11" i="3" s="1"/>
  <c r="D4" i="3" a="1"/>
  <c r="D4" i="3" s="1"/>
  <c r="F4" i="3" s="1"/>
  <c r="F356" i="3"/>
  <c r="F212" i="3"/>
  <c r="F130" i="3"/>
  <c r="F124" i="3"/>
  <c r="F94" i="3"/>
  <c r="F82" i="3"/>
  <c r="F246" i="3"/>
  <c r="F238" i="3"/>
  <c r="F174" i="3"/>
  <c r="F166" i="3"/>
  <c r="F348" i="3"/>
  <c r="F321" i="3"/>
  <c r="F243" i="3"/>
  <c r="F308" i="3"/>
  <c r="F316" i="3"/>
  <c r="F423" i="3"/>
  <c r="F327" i="3"/>
  <c r="F273" i="3"/>
  <c r="F360" i="3"/>
  <c r="F324" i="3"/>
  <c r="F288" i="3"/>
  <c r="F154" i="3"/>
  <c r="F312" i="3"/>
  <c r="F399" i="3"/>
  <c r="F397" i="3"/>
  <c r="F157" i="3"/>
  <c r="F85" i="3"/>
  <c r="F131" i="3"/>
  <c r="F140" i="3"/>
  <c r="F128" i="3"/>
  <c r="F56" i="3"/>
  <c r="F18" i="3" l="1"/>
  <c r="F175" i="3"/>
  <c r="F193" i="3"/>
  <c r="F211" i="3"/>
  <c r="F229" i="3"/>
  <c r="F247" i="3"/>
  <c r="F265" i="3"/>
  <c r="F283" i="3"/>
  <c r="F301" i="3"/>
  <c r="F319" i="3"/>
  <c r="F337" i="3"/>
  <c r="F9" i="3"/>
  <c r="F27" i="3"/>
  <c r="F45" i="3"/>
  <c r="F63" i="3"/>
  <c r="F81" i="3"/>
  <c r="F105" i="3"/>
  <c r="F42" i="3"/>
  <c r="F325" i="3"/>
  <c r="F343" i="3"/>
  <c r="F333" i="3"/>
  <c r="F15" i="3"/>
  <c r="F33" i="3"/>
  <c r="F51" i="3"/>
  <c r="F69" i="3"/>
  <c r="F87" i="3"/>
  <c r="F141" i="3"/>
  <c r="F159" i="3"/>
  <c r="F177" i="3"/>
  <c r="F195" i="3"/>
  <c r="F213" i="3"/>
  <c r="F231" i="3"/>
  <c r="F315" i="3"/>
  <c r="F6" i="3"/>
  <c r="F48" i="3"/>
  <c r="F7" i="3"/>
  <c r="F25" i="3"/>
  <c r="F43" i="3"/>
  <c r="F61" i="3"/>
  <c r="F79" i="3"/>
  <c r="F97" i="3"/>
  <c r="F115" i="3"/>
  <c r="F133" i="3"/>
  <c r="F151" i="3"/>
  <c r="F169" i="3"/>
  <c r="F187" i="3"/>
  <c r="F205" i="3"/>
  <c r="F223" i="3"/>
  <c r="F241" i="3"/>
  <c r="F259" i="3"/>
  <c r="F277" i="3"/>
  <c r="F295" i="3"/>
  <c r="F313" i="3"/>
  <c r="F331" i="3"/>
  <c r="F291" i="3"/>
  <c r="F21" i="3"/>
  <c r="F39" i="3"/>
  <c r="F57" i="3"/>
  <c r="F75" i="3"/>
  <c r="F93" i="3"/>
  <c r="F147" i="3"/>
  <c r="F165" i="3"/>
  <c r="F183" i="3"/>
  <c r="F201" i="3"/>
  <c r="F219" i="3"/>
  <c r="F237" i="3"/>
  <c r="C7" i="2" l="1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6" i="2"/>
  <c r="M4" i="4" l="1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C121" i="2"/>
  <c r="A104" i="2"/>
  <c r="A143" i="2" s="1"/>
  <c r="G82" i="2"/>
  <c r="G121" i="2" s="1"/>
  <c r="C82" i="2"/>
  <c r="A65" i="2"/>
  <c r="E64" i="2"/>
  <c r="E103" i="2" s="1"/>
  <c r="E142" i="2" s="1"/>
  <c r="B64" i="2"/>
  <c r="B103" i="2" s="1"/>
  <c r="B142" i="2" s="1"/>
  <c r="E63" i="2"/>
  <c r="E102" i="2" s="1"/>
  <c r="E141" i="2" s="1"/>
  <c r="B63" i="2"/>
  <c r="B102" i="2" s="1"/>
  <c r="B141" i="2" s="1"/>
  <c r="E62" i="2"/>
  <c r="E101" i="2" s="1"/>
  <c r="E140" i="2" s="1"/>
  <c r="C62" i="2"/>
  <c r="C101" i="2" s="1"/>
  <c r="C140" i="2" s="1"/>
  <c r="B62" i="2"/>
  <c r="B101" i="2" s="1"/>
  <c r="B140" i="2" s="1"/>
  <c r="E61" i="2"/>
  <c r="E100" i="2" s="1"/>
  <c r="E139" i="2" s="1"/>
  <c r="B61" i="2"/>
  <c r="B100" i="2" s="1"/>
  <c r="B139" i="2" s="1"/>
  <c r="E60" i="2"/>
  <c r="E99" i="2" s="1"/>
  <c r="E138" i="2" s="1"/>
  <c r="B60" i="2"/>
  <c r="B99" i="2" s="1"/>
  <c r="B138" i="2" s="1"/>
  <c r="E59" i="2"/>
  <c r="E98" i="2" s="1"/>
  <c r="E137" i="2" s="1"/>
  <c r="B59" i="2"/>
  <c r="B98" i="2" s="1"/>
  <c r="B137" i="2" s="1"/>
  <c r="E58" i="2"/>
  <c r="E97" i="2" s="1"/>
  <c r="E136" i="2" s="1"/>
  <c r="B58" i="2"/>
  <c r="B97" i="2" s="1"/>
  <c r="B136" i="2" s="1"/>
  <c r="E57" i="2"/>
  <c r="E96" i="2" s="1"/>
  <c r="E135" i="2" s="1"/>
  <c r="B57" i="2"/>
  <c r="B96" i="2" s="1"/>
  <c r="B135" i="2" s="1"/>
  <c r="E56" i="2"/>
  <c r="E95" i="2" s="1"/>
  <c r="E134" i="2" s="1"/>
  <c r="B56" i="2"/>
  <c r="B95" i="2" s="1"/>
  <c r="B134" i="2" s="1"/>
  <c r="E55" i="2"/>
  <c r="E94" i="2" s="1"/>
  <c r="E133" i="2" s="1"/>
  <c r="B55" i="2"/>
  <c r="B94" i="2" s="1"/>
  <c r="B133" i="2" s="1"/>
  <c r="E54" i="2"/>
  <c r="E93" i="2" s="1"/>
  <c r="E132" i="2" s="1"/>
  <c r="B54" i="2"/>
  <c r="B93" i="2" s="1"/>
  <c r="B132" i="2" s="1"/>
  <c r="E53" i="2"/>
  <c r="E92" i="2" s="1"/>
  <c r="E131" i="2" s="1"/>
  <c r="B53" i="2"/>
  <c r="B92" i="2" s="1"/>
  <c r="B131" i="2" s="1"/>
  <c r="E52" i="2"/>
  <c r="E91" i="2" s="1"/>
  <c r="E130" i="2" s="1"/>
  <c r="B52" i="2"/>
  <c r="B91" i="2" s="1"/>
  <c r="B130" i="2" s="1"/>
  <c r="E51" i="2"/>
  <c r="E90" i="2" s="1"/>
  <c r="E129" i="2" s="1"/>
  <c r="B51" i="2"/>
  <c r="B90" i="2" s="1"/>
  <c r="B129" i="2" s="1"/>
  <c r="E50" i="2"/>
  <c r="E89" i="2" s="1"/>
  <c r="E128" i="2" s="1"/>
  <c r="C50" i="2"/>
  <c r="C89" i="2" s="1"/>
  <c r="C128" i="2" s="1"/>
  <c r="B50" i="2"/>
  <c r="B89" i="2" s="1"/>
  <c r="B128" i="2" s="1"/>
  <c r="E49" i="2"/>
  <c r="E88" i="2" s="1"/>
  <c r="E127" i="2" s="1"/>
  <c r="B49" i="2"/>
  <c r="B88" i="2" s="1"/>
  <c r="B127" i="2" s="1"/>
  <c r="E48" i="2"/>
  <c r="E87" i="2" s="1"/>
  <c r="E126" i="2" s="1"/>
  <c r="B48" i="2"/>
  <c r="B87" i="2" s="1"/>
  <c r="B126" i="2" s="1"/>
  <c r="E47" i="2"/>
  <c r="E86" i="2" s="1"/>
  <c r="E125" i="2" s="1"/>
  <c r="B47" i="2"/>
  <c r="B86" i="2" s="1"/>
  <c r="B125" i="2" s="1"/>
  <c r="E46" i="2"/>
  <c r="E85" i="2" s="1"/>
  <c r="E124" i="2" s="1"/>
  <c r="C46" i="2"/>
  <c r="C85" i="2" s="1"/>
  <c r="C124" i="2" s="1"/>
  <c r="B46" i="2"/>
  <c r="B85" i="2" s="1"/>
  <c r="B124" i="2" s="1"/>
  <c r="E45" i="2"/>
  <c r="E84" i="2" s="1"/>
  <c r="E123" i="2" s="1"/>
  <c r="B45" i="2"/>
  <c r="B84" i="2" s="1"/>
  <c r="B123" i="2" s="1"/>
  <c r="G43" i="2"/>
  <c r="C43" i="2"/>
  <c r="E26" i="2"/>
  <c r="F25" i="2"/>
  <c r="F64" i="2" s="1"/>
  <c r="F103" i="2" s="1"/>
  <c r="F142" i="2" s="1"/>
  <c r="D25" i="2"/>
  <c r="F24" i="2"/>
  <c r="F63" i="2" s="1"/>
  <c r="F102" i="2" s="1"/>
  <c r="F141" i="2" s="1"/>
  <c r="C63" i="2"/>
  <c r="C102" i="2" s="1"/>
  <c r="C141" i="2" s="1"/>
  <c r="F23" i="2"/>
  <c r="F62" i="2" s="1"/>
  <c r="F101" i="2" s="1"/>
  <c r="F140" i="2" s="1"/>
  <c r="D23" i="2"/>
  <c r="F22" i="2"/>
  <c r="F61" i="2" s="1"/>
  <c r="F100" i="2" s="1"/>
  <c r="F139" i="2" s="1"/>
  <c r="D22" i="2"/>
  <c r="F21" i="2"/>
  <c r="F60" i="2" s="1"/>
  <c r="F99" i="2" s="1"/>
  <c r="F138" i="2" s="1"/>
  <c r="C60" i="2"/>
  <c r="C99" i="2" s="1"/>
  <c r="C138" i="2" s="1"/>
  <c r="F20" i="2"/>
  <c r="F59" i="2" s="1"/>
  <c r="F98" i="2" s="1"/>
  <c r="F137" i="2" s="1"/>
  <c r="C59" i="2"/>
  <c r="C98" i="2" s="1"/>
  <c r="C137" i="2" s="1"/>
  <c r="F19" i="2"/>
  <c r="F58" i="2" s="1"/>
  <c r="F97" i="2" s="1"/>
  <c r="F136" i="2" s="1"/>
  <c r="D19" i="2"/>
  <c r="F18" i="2"/>
  <c r="F57" i="2" s="1"/>
  <c r="F96" i="2" s="1"/>
  <c r="F135" i="2" s="1"/>
  <c r="C57" i="2"/>
  <c r="C96" i="2" s="1"/>
  <c r="C135" i="2" s="1"/>
  <c r="F17" i="2"/>
  <c r="F56" i="2" s="1"/>
  <c r="F95" i="2" s="1"/>
  <c r="F134" i="2" s="1"/>
  <c r="C56" i="2"/>
  <c r="C95" i="2" s="1"/>
  <c r="C134" i="2" s="1"/>
  <c r="F16" i="2"/>
  <c r="F55" i="2" s="1"/>
  <c r="F94" i="2" s="1"/>
  <c r="F133" i="2" s="1"/>
  <c r="D16" i="2"/>
  <c r="F54" i="2"/>
  <c r="F93" i="2" s="1"/>
  <c r="F132" i="2" s="1"/>
  <c r="C54" i="2"/>
  <c r="C93" i="2" s="1"/>
  <c r="C132" i="2" s="1"/>
  <c r="F14" i="2"/>
  <c r="F53" i="2" s="1"/>
  <c r="F92" i="2" s="1"/>
  <c r="F131" i="2" s="1"/>
  <c r="D14" i="2"/>
  <c r="D53" i="2" s="1"/>
  <c r="F13" i="2"/>
  <c r="F52" i="2" s="1"/>
  <c r="F91" i="2" s="1"/>
  <c r="F130" i="2" s="1"/>
  <c r="D13" i="2"/>
  <c r="F12" i="2"/>
  <c r="F51" i="2" s="1"/>
  <c r="F90" i="2" s="1"/>
  <c r="F129" i="2" s="1"/>
  <c r="D12" i="2"/>
  <c r="F11" i="2"/>
  <c r="F50" i="2" s="1"/>
  <c r="F89" i="2" s="1"/>
  <c r="F128" i="2" s="1"/>
  <c r="D11" i="2"/>
  <c r="D50" i="2" s="1"/>
  <c r="F10" i="2"/>
  <c r="F49" i="2" s="1"/>
  <c r="F88" i="2" s="1"/>
  <c r="F127" i="2" s="1"/>
  <c r="D10" i="2"/>
  <c r="F9" i="2"/>
  <c r="F48" i="2" s="1"/>
  <c r="F87" i="2" s="1"/>
  <c r="F126" i="2" s="1"/>
  <c r="C48" i="2"/>
  <c r="C87" i="2" s="1"/>
  <c r="C126" i="2" s="1"/>
  <c r="F8" i="2"/>
  <c r="F47" i="2" s="1"/>
  <c r="F86" i="2" s="1"/>
  <c r="F125" i="2" s="1"/>
  <c r="C47" i="2"/>
  <c r="C86" i="2" s="1"/>
  <c r="C125" i="2" s="1"/>
  <c r="F7" i="2"/>
  <c r="F46" i="2" s="1"/>
  <c r="F85" i="2" s="1"/>
  <c r="F124" i="2" s="1"/>
  <c r="D7" i="2"/>
  <c r="F6" i="2"/>
  <c r="C45" i="2"/>
  <c r="C84" i="2" s="1"/>
  <c r="C123" i="2" s="1"/>
  <c r="C4" i="2"/>
  <c r="G25" i="2" l="1"/>
  <c r="G64" i="2" s="1"/>
  <c r="G103" i="2" s="1"/>
  <c r="G142" i="2" s="1"/>
  <c r="G20" i="2"/>
  <c r="G59" i="2" s="1"/>
  <c r="G98" i="2" s="1"/>
  <c r="G137" i="2" s="1"/>
  <c r="G24" i="2"/>
  <c r="G63" i="2" s="1"/>
  <c r="G102" i="2" s="1"/>
  <c r="G141" i="2" s="1"/>
  <c r="G23" i="2"/>
  <c r="G62" i="2" s="1"/>
  <c r="G101" i="2" s="1"/>
  <c r="G140" i="2" s="1"/>
  <c r="G22" i="2"/>
  <c r="G61" i="2" s="1"/>
  <c r="G100" i="2" s="1"/>
  <c r="G139" i="2" s="1"/>
  <c r="G21" i="2"/>
  <c r="G60" i="2" s="1"/>
  <c r="G99" i="2" s="1"/>
  <c r="G138" i="2" s="1"/>
  <c r="G19" i="2"/>
  <c r="G58" i="2" s="1"/>
  <c r="G97" i="2" s="1"/>
  <c r="G136" i="2" s="1"/>
  <c r="G18" i="2"/>
  <c r="G57" i="2" s="1"/>
  <c r="G96" i="2" s="1"/>
  <c r="G135" i="2" s="1"/>
  <c r="G17" i="2"/>
  <c r="G56" i="2" s="1"/>
  <c r="G95" i="2" s="1"/>
  <c r="G134" i="2" s="1"/>
  <c r="G16" i="2"/>
  <c r="G55" i="2" s="1"/>
  <c r="G94" i="2" s="1"/>
  <c r="G133" i="2" s="1"/>
  <c r="G15" i="2"/>
  <c r="G54" i="2" s="1"/>
  <c r="G93" i="2" s="1"/>
  <c r="G132" i="2" s="1"/>
  <c r="G14" i="2"/>
  <c r="G53" i="2" s="1"/>
  <c r="G92" i="2" s="1"/>
  <c r="G131" i="2" s="1"/>
  <c r="E143" i="2"/>
  <c r="E104" i="2"/>
  <c r="E65" i="2"/>
  <c r="G7" i="2"/>
  <c r="G46" i="2" s="1"/>
  <c r="G85" i="2" s="1"/>
  <c r="G124" i="2" s="1"/>
  <c r="G13" i="2"/>
  <c r="G52" i="2" s="1"/>
  <c r="G91" i="2" s="1"/>
  <c r="G130" i="2" s="1"/>
  <c r="G11" i="2"/>
  <c r="G50" i="2" s="1"/>
  <c r="G89" i="2" s="1"/>
  <c r="G128" i="2" s="1"/>
  <c r="G9" i="2"/>
  <c r="G48" i="2" s="1"/>
  <c r="G87" i="2" s="1"/>
  <c r="G126" i="2" s="1"/>
  <c r="G10" i="2"/>
  <c r="G49" i="2" s="1"/>
  <c r="G88" i="2" s="1"/>
  <c r="G127" i="2" s="1"/>
  <c r="G12" i="2"/>
  <c r="G51" i="2" s="1"/>
  <c r="G90" i="2" s="1"/>
  <c r="G129" i="2" s="1"/>
  <c r="G8" i="2"/>
  <c r="G47" i="2" s="1"/>
  <c r="G86" i="2" s="1"/>
  <c r="G125" i="2" s="1"/>
  <c r="F45" i="2"/>
  <c r="F84" i="2" s="1"/>
  <c r="F123" i="2" s="1"/>
  <c r="G6" i="2"/>
  <c r="G45" i="2" s="1"/>
  <c r="G84" i="2" s="1"/>
  <c r="G123" i="2" s="1"/>
  <c r="F3" i="3"/>
  <c r="D17" i="2"/>
  <c r="D56" i="2" s="1"/>
  <c r="C53" i="2"/>
  <c r="C92" i="2" s="1"/>
  <c r="C131" i="2" s="1"/>
  <c r="C58" i="2"/>
  <c r="C97" i="2" s="1"/>
  <c r="C136" i="2" s="1"/>
  <c r="D8" i="2"/>
  <c r="D47" i="2" s="1"/>
  <c r="D20" i="2"/>
  <c r="D59" i="2" s="1"/>
  <c r="C52" i="2"/>
  <c r="C91" i="2" s="1"/>
  <c r="C130" i="2" s="1"/>
  <c r="C64" i="2"/>
  <c r="C103" i="2" s="1"/>
  <c r="C142" i="2" s="1"/>
  <c r="D89" i="2"/>
  <c r="D46" i="2"/>
  <c r="D124" i="2"/>
  <c r="D85" i="2"/>
  <c r="D55" i="2"/>
  <c r="D133" i="2"/>
  <c r="D94" i="2"/>
  <c r="D61" i="2"/>
  <c r="D100" i="2"/>
  <c r="D139" i="2"/>
  <c r="D49" i="2"/>
  <c r="D127" i="2"/>
  <c r="D88" i="2"/>
  <c r="D58" i="2"/>
  <c r="D136" i="2"/>
  <c r="D97" i="2"/>
  <c r="D52" i="2"/>
  <c r="D91" i="2"/>
  <c r="D130" i="2"/>
  <c r="D51" i="2"/>
  <c r="D90" i="2"/>
  <c r="D129" i="2"/>
  <c r="D64" i="2"/>
  <c r="D103" i="2"/>
  <c r="D142" i="2"/>
  <c r="D6" i="2"/>
  <c r="D62" i="2"/>
  <c r="D101" i="2"/>
  <c r="C49" i="2"/>
  <c r="C88" i="2" s="1"/>
  <c r="C127" i="2" s="1"/>
  <c r="C55" i="2"/>
  <c r="C94" i="2" s="1"/>
  <c r="C133" i="2" s="1"/>
  <c r="C61" i="2"/>
  <c r="C100" i="2" s="1"/>
  <c r="C139" i="2" s="1"/>
  <c r="D92" i="2"/>
  <c r="D9" i="2"/>
  <c r="D18" i="2"/>
  <c r="D21" i="2"/>
  <c r="D24" i="2"/>
  <c r="C51" i="2"/>
  <c r="C90" i="2" s="1"/>
  <c r="C129" i="2" s="1"/>
  <c r="D15" i="2"/>
  <c r="D128" i="2"/>
  <c r="D131" i="2"/>
  <c r="D140" i="2"/>
  <c r="D134" i="2" l="1"/>
  <c r="F26" i="2"/>
  <c r="F65" i="2" s="1"/>
  <c r="F104" i="2" s="1"/>
  <c r="F143" i="2" s="1"/>
  <c r="D137" i="2"/>
  <c r="D95" i="2"/>
  <c r="D125" i="2"/>
  <c r="D86" i="2"/>
  <c r="D98" i="2"/>
  <c r="D54" i="2"/>
  <c r="D132" i="2"/>
  <c r="D93" i="2"/>
  <c r="D63" i="2"/>
  <c r="D102" i="2"/>
  <c r="D141" i="2"/>
  <c r="D45" i="2"/>
  <c r="D84" i="2"/>
  <c r="D123" i="2"/>
  <c r="D60" i="2"/>
  <c r="D99" i="2"/>
  <c r="D138" i="2"/>
  <c r="D57" i="2"/>
  <c r="D96" i="2"/>
  <c r="D135" i="2"/>
  <c r="D48" i="2"/>
  <c r="D126" i="2"/>
  <c r="D87" i="2"/>
</calcChain>
</file>

<file path=xl/sharedStrings.xml><?xml version="1.0" encoding="utf-8"?>
<sst xmlns="http://schemas.openxmlformats.org/spreadsheetml/2006/main" count="3097" uniqueCount="222">
  <si>
    <t>Block-16(ABCD), RUAP, Panchabati, Diabari, Uttara, Sector-18, Dhaka-1230</t>
  </si>
  <si>
    <t>Material Issue Voucher</t>
  </si>
  <si>
    <t>Date:</t>
  </si>
  <si>
    <t>Voucher No.:</t>
  </si>
  <si>
    <t>SN.</t>
  </si>
  <si>
    <t>Code</t>
  </si>
  <si>
    <t>Items</t>
  </si>
  <si>
    <t>Unit</t>
  </si>
  <si>
    <t>Qty.</t>
  </si>
  <si>
    <t>Price</t>
  </si>
  <si>
    <t>Total</t>
  </si>
  <si>
    <t>Description</t>
  </si>
  <si>
    <t xml:space="preserve">Bed </t>
  </si>
  <si>
    <t>Bed sheet (Used)</t>
  </si>
  <si>
    <t>Bed sheet (New)</t>
  </si>
  <si>
    <t>TOTAL</t>
  </si>
  <si>
    <t xml:space="preserve">    ______________________</t>
  </si>
  <si>
    <t>_____________________________</t>
  </si>
  <si>
    <t xml:space="preserve">        Store Keeper</t>
  </si>
  <si>
    <t>Authorised Signature</t>
  </si>
  <si>
    <t>The above materials/items are received in good condition.</t>
  </si>
  <si>
    <t>Name:</t>
  </si>
  <si>
    <t>Contact No.:</t>
  </si>
  <si>
    <t>Signature:</t>
  </si>
  <si>
    <t>Organization:</t>
  </si>
  <si>
    <t>*Approved requisition form &amp; the signed copy of this doc. to be preserved in store files.</t>
  </si>
  <si>
    <t>Gate Pass</t>
  </si>
  <si>
    <t xml:space="preserve">         Prepared By</t>
  </si>
  <si>
    <t xml:space="preserve">The above materials/items are released through Gate No. - </t>
  </si>
  <si>
    <t>Driver's Name:                                                                                             Security Supervisor:</t>
  </si>
  <si>
    <t>Vehicle No.:</t>
  </si>
  <si>
    <t>Time of Discharge:                                                                                      Signature:</t>
  </si>
  <si>
    <t>*Signed copy of this doc. to be preserved in security supervisor's office</t>
  </si>
  <si>
    <t>Item</t>
  </si>
  <si>
    <t>Qty</t>
  </si>
  <si>
    <t>Category</t>
  </si>
  <si>
    <t>Opening Stock</t>
  </si>
  <si>
    <t>Sales Price</t>
  </si>
  <si>
    <t>LINKCODE</t>
  </si>
  <si>
    <t>Opening Qty</t>
  </si>
  <si>
    <t>Sales</t>
  </si>
  <si>
    <t>Stock</t>
  </si>
  <si>
    <t>Department:</t>
  </si>
  <si>
    <t>Furniture &amp; Crockeries</t>
  </si>
  <si>
    <t>Nos</t>
  </si>
  <si>
    <t>Mattress</t>
  </si>
  <si>
    <t>Table with two drawers (Size L3'xW 2')</t>
  </si>
  <si>
    <t>4 drawer wardrobe (Size L5'xH4'xD2')</t>
  </si>
  <si>
    <t>Executive table type-01 (Size-9'x4')</t>
  </si>
  <si>
    <t>Executive table type-02 (Size-7'x4')</t>
  </si>
  <si>
    <t>Table (Size-5'x3')</t>
  </si>
  <si>
    <t>Discussion table (Size-12'x4')</t>
  </si>
  <si>
    <t>Laminated board table for appliances (Size-L3.5'xH2.5'xD2.5')</t>
  </si>
  <si>
    <t>Laminated board file cabinet with glass door (Size-L5'xH7'xD2')</t>
  </si>
  <si>
    <t>Low height cabinet (Size-L8xW2xH2.5)</t>
  </si>
  <si>
    <t>Office chair with handle</t>
  </si>
  <si>
    <t>Steel chair without handle</t>
  </si>
  <si>
    <t>Dining table (Size-10'x3')</t>
  </si>
  <si>
    <t xml:space="preserve">Single sofa </t>
  </si>
  <si>
    <t>Table for iron (8'x4')</t>
  </si>
  <si>
    <t>Cloth cabinet (Size-6'x6') for landury</t>
  </si>
  <si>
    <t xml:space="preserve">Table for sample collection &amp; ART field test (Size-3'x2.5') </t>
  </si>
  <si>
    <t>Food Table (Size-1.5'x1.5')</t>
  </si>
  <si>
    <t>Dress cabinet for donning (Size H6'xW10'xD1.5')</t>
  </si>
  <si>
    <t>Plastic chair with handle</t>
  </si>
  <si>
    <t>Garments hanger rack (Type-1)</t>
  </si>
  <si>
    <t>Garments hanger rack (Type-2)</t>
  </si>
  <si>
    <t>Pillow</t>
  </si>
  <si>
    <t>Pillow cover (Used)</t>
  </si>
  <si>
    <t>Pillow cover (New)</t>
  </si>
  <si>
    <t>Mosquito net</t>
  </si>
  <si>
    <t>Window curtain-1</t>
  </si>
  <si>
    <t>Window curtain-2</t>
  </si>
  <si>
    <t>Vertical blinds ((Each Size-9'x7')</t>
  </si>
  <si>
    <t>Blanket</t>
  </si>
  <si>
    <t>Blanket  Cover</t>
  </si>
  <si>
    <t>Water jug</t>
  </si>
  <si>
    <t>Drinking glass</t>
  </si>
  <si>
    <t>Tea Cup with plate</t>
  </si>
  <si>
    <t>Set</t>
  </si>
  <si>
    <t>Tea spoon</t>
  </si>
  <si>
    <t>Curry spoon</t>
  </si>
  <si>
    <t>Rice plate (Malamine)</t>
  </si>
  <si>
    <t>Rice dish</t>
  </si>
  <si>
    <t>Curry dish</t>
  </si>
  <si>
    <t>Quarter plate</t>
  </si>
  <si>
    <t>Rice spoon</t>
  </si>
  <si>
    <t>Curry spoon (SS)</t>
  </si>
  <si>
    <t>Milk pot</t>
  </si>
  <si>
    <t>Sugar pot</t>
  </si>
  <si>
    <t>Hot box tiffin carrier</t>
  </si>
  <si>
    <t>Water heater</t>
  </si>
  <si>
    <t>Bucket for Toilet</t>
  </si>
  <si>
    <t>Mug for Toilet</t>
  </si>
  <si>
    <t>Cloth hanging clip</t>
  </si>
  <si>
    <t>Waste bin with lid</t>
  </si>
  <si>
    <t>Paper basket-1</t>
  </si>
  <si>
    <t>Paper basket-2</t>
  </si>
  <si>
    <t>Plastic hanger</t>
  </si>
  <si>
    <t>Bucket for room cleaning</t>
  </si>
  <si>
    <t>Water pot (New)</t>
  </si>
  <si>
    <t>Mop for room cleaning (New)</t>
  </si>
  <si>
    <t>Flower broom (New)</t>
  </si>
  <si>
    <t>Plastic belcha</t>
  </si>
  <si>
    <t>SS Stick</t>
  </si>
  <si>
    <t>Rain coat</t>
  </si>
  <si>
    <t>Mosquito Racket</t>
  </si>
  <si>
    <t>Electronic Balance</t>
  </si>
  <si>
    <t>Prayer Mat (Jainamaz)</t>
  </si>
  <si>
    <t>Electromechanical Items</t>
  </si>
  <si>
    <t>LED Tube Light -23W - Used</t>
  </si>
  <si>
    <t>Nos.</t>
  </si>
  <si>
    <t>LED Bulb-9W - New</t>
  </si>
  <si>
    <t>LED Bulb-9W - Used</t>
  </si>
  <si>
    <t>LED Red  Bulb-10W - Used</t>
  </si>
  <si>
    <t>LED Bulb-20W - New</t>
  </si>
  <si>
    <t>LED Bulb-20W - Used</t>
  </si>
  <si>
    <t>Light Holder - New</t>
  </si>
  <si>
    <t>Light Holder - Used</t>
  </si>
  <si>
    <t>Flood Light (China) - 100W IP - 65/68 - Usesd</t>
  </si>
  <si>
    <t>Flood Light (China) - 100W IP - 65/68 - New</t>
  </si>
  <si>
    <t>Flood Light (Transtec) - 100W IP - 65/68 - Used</t>
  </si>
  <si>
    <t>Flood Light (Transtec) - 100W IP - 65/68 - New</t>
  </si>
  <si>
    <t>Ceiling Fan (BRB Lovely, White Color) - Used</t>
  </si>
  <si>
    <t>Ceiling Fan (RFL Click, White Color) - Used, from BD Army</t>
  </si>
  <si>
    <t>Ceiling Fan (Out of Order/Not workable) - Used, from BD Army</t>
  </si>
  <si>
    <t>Pedestal Fan (GFC - Pakistan)</t>
  </si>
  <si>
    <t>Wall Fan (Meera 20")</t>
  </si>
  <si>
    <t>Exhaust Fan (For Toilet, 12"x12") - Used</t>
  </si>
  <si>
    <t>Exhaust Fan (Industrial Type, 1.5'x1.5')</t>
  </si>
  <si>
    <t>AC- 1 Ton (Gree)</t>
  </si>
  <si>
    <t>DOL Starter (1.1/2 KW) - New</t>
  </si>
  <si>
    <t>Switch &amp; Sockets (around 200 Pcs)</t>
  </si>
  <si>
    <t>All types of Cables</t>
  </si>
  <si>
    <t>KG</t>
  </si>
  <si>
    <t>PVC Conduit, Channel, Box, Bend, Elbow &amp; Tee</t>
  </si>
  <si>
    <t>Queue Barrier</t>
  </si>
  <si>
    <t>Fire Extinguisher-ABC dry chemical</t>
  </si>
  <si>
    <t>Fire Extinguisher-Co2</t>
  </si>
  <si>
    <t>Fire Extinguisher-Foam</t>
  </si>
  <si>
    <t xml:space="preserve">Calling Bell for Flats - New </t>
  </si>
  <si>
    <t>Calling Bell for Flats - Used</t>
  </si>
  <si>
    <t>Calling Bell for OFFICE - New</t>
  </si>
  <si>
    <t>Calling Bell for OFFICE - Used</t>
  </si>
  <si>
    <t>Multiplug (4 Point)</t>
  </si>
  <si>
    <t>Multiplug (5 Point)</t>
  </si>
  <si>
    <t>IT Equipment</t>
  </si>
  <si>
    <t>TV (24") - Rangs, RL-24G302</t>
  </si>
  <si>
    <t>Wifi Router (AP)</t>
  </si>
  <si>
    <t xml:space="preserve">Booth Microphone </t>
  </si>
  <si>
    <t>CAT-6, Coaxial RG-6/11,  TEL Pair Cables</t>
  </si>
  <si>
    <t>Cash Purchased Items</t>
  </si>
  <si>
    <t>DB Box - Small (Walton) (New)</t>
  </si>
  <si>
    <t>DB Box - Small (Walton) (Used)</t>
  </si>
  <si>
    <t>Refreezarator- Small Size - Singer Bangladesh Limited</t>
  </si>
  <si>
    <t>Portable Speaker</t>
  </si>
  <si>
    <t>Pen Holder for TV Remote-1</t>
  </si>
  <si>
    <t>Pen Holder for TV Remote-2</t>
  </si>
  <si>
    <t>HDMI Cable</t>
  </si>
  <si>
    <t>Pendrive for official purpose</t>
  </si>
  <si>
    <t>Thermal Sensor for DB Boards</t>
  </si>
  <si>
    <t>Wall Clock-1</t>
  </si>
  <si>
    <t>Wall Clock-2</t>
  </si>
  <si>
    <t>Wall Clock-3</t>
  </si>
  <si>
    <t>Presenter Logitech Wireless - Tech Express</t>
  </si>
  <si>
    <t>Rechargeable Battery &amp; Charger for Sound box Mic Speaker</t>
  </si>
  <si>
    <t>Jacket for Fire Drill</t>
  </si>
  <si>
    <t>Helmet for Fire Drill</t>
  </si>
  <si>
    <t>Big Pan (for Fire Drill)</t>
  </si>
  <si>
    <t>Cutting Plier for various use</t>
  </si>
  <si>
    <t>Screwdriver for various use</t>
  </si>
  <si>
    <t xml:space="preserve">Torch light </t>
  </si>
  <si>
    <t>Manual sprayer machine</t>
  </si>
  <si>
    <t xml:space="preserve">Items Purchased by Medical Team </t>
  </si>
  <si>
    <t>Chair</t>
  </si>
  <si>
    <t>Dining Table with 6 chair</t>
  </si>
  <si>
    <t>Table (Small)</t>
  </si>
  <si>
    <t>Table (Large)</t>
  </si>
  <si>
    <t>Marble Table</t>
  </si>
  <si>
    <t>Cabinet</t>
  </si>
  <si>
    <t>Trolley-1</t>
  </si>
  <si>
    <t>Trolley-2</t>
  </si>
  <si>
    <t>Almirah</t>
  </si>
  <si>
    <t>Bucket</t>
  </si>
  <si>
    <t>Mug</t>
  </si>
  <si>
    <t>Mini Drawer</t>
  </si>
  <si>
    <t>Weight Machine</t>
  </si>
  <si>
    <t>Iron</t>
  </si>
  <si>
    <t>Multiplug</t>
  </si>
  <si>
    <t>White board</t>
  </si>
  <si>
    <t>Drinky water purifier (electric)</t>
  </si>
  <si>
    <t>RFL plastic shoe rack</t>
  </si>
  <si>
    <t>Vision electric kettle</t>
  </si>
  <si>
    <t>AIRPOT happy lion flask - 3 litre</t>
  </si>
  <si>
    <t>Tool</t>
  </si>
  <si>
    <t>Plastic Box</t>
  </si>
  <si>
    <t>Marker</t>
  </si>
  <si>
    <t>Highlighter</t>
  </si>
  <si>
    <t>Bin</t>
  </si>
  <si>
    <t>Paddle Bin</t>
  </si>
  <si>
    <t>Paddle Bin (Small)</t>
  </si>
  <si>
    <t>RFL Dish Rack Red</t>
  </si>
  <si>
    <t>RFL Kitchen Rack</t>
  </si>
  <si>
    <t>DO NOT TOUCH ANYTHING PLEASE</t>
  </si>
  <si>
    <t>Luxury Chair</t>
  </si>
  <si>
    <t>4- Gang Switch</t>
  </si>
  <si>
    <t>3- Gang Switch</t>
  </si>
  <si>
    <t>2- gang Switch</t>
  </si>
  <si>
    <t>MK Regulator</t>
  </si>
  <si>
    <t>Power Socket</t>
  </si>
  <si>
    <t>3 pin Round Socket</t>
  </si>
  <si>
    <t>European Socket</t>
  </si>
  <si>
    <t>Power Socket-Super Star</t>
  </si>
  <si>
    <t>Calling Bell Switch</t>
  </si>
  <si>
    <t>Circuit Breaker upto 32A</t>
  </si>
  <si>
    <t>Cable-Used</t>
  </si>
  <si>
    <t>Cable Connector</t>
  </si>
  <si>
    <t>Pack</t>
  </si>
  <si>
    <t>Plastic chair without handle</t>
  </si>
  <si>
    <t/>
  </si>
  <si>
    <t>dol</t>
  </si>
  <si>
    <t>BEXIMCO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</si>
</sst>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;#;\-"/>
    <numFmt numFmtId="165" formatCode="[$-409]m/d/yy\ h:mm\ AM/P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mbria"/>
      <family val="1"/>
    </font>
    <font>
      <sz val="11"/>
      <color theme="1"/>
      <name val="Cambria"/>
      <family val="1"/>
    </font>
    <font>
      <i/>
      <sz val="11"/>
      <color theme="1"/>
      <name val="Cambria"/>
      <family val="1"/>
    </font>
    <font>
      <b/>
      <sz val="16"/>
      <color theme="1"/>
      <name val="Cambria"/>
      <family val="1"/>
    </font>
    <font>
      <b/>
      <sz val="14"/>
      <color theme="1"/>
      <name val="Cambria"/>
      <family val="1"/>
    </font>
    <font>
      <sz val="13"/>
      <color theme="1"/>
      <name val="Cambria"/>
      <family val="1"/>
    </font>
    <font>
      <sz val="14"/>
      <color theme="1"/>
      <name val="Cambria"/>
      <family val="1"/>
    </font>
    <font>
      <sz val="11"/>
      <color theme="1"/>
      <name val="Calibri"/>
      <family val="2"/>
    </font>
    <font>
      <b/>
      <sz val="18"/>
      <color theme="1"/>
      <name val="Cambria"/>
      <family val="1"/>
    </font>
    <font>
      <i/>
      <sz val="13"/>
      <color theme="1"/>
      <name val="Cambria"/>
      <family val="1"/>
    </font>
    <font>
      <b/>
      <sz val="13"/>
      <color theme="1"/>
      <name val="Cambria"/>
      <family val="1"/>
    </font>
    <font>
      <b/>
      <sz val="11"/>
      <color theme="1"/>
      <name val="Cambria"/>
      <family val="1"/>
    </font>
    <font>
      <sz val="10"/>
      <color theme="1"/>
      <name val="Cambria"/>
      <family val="1"/>
    </font>
    <font>
      <b/>
      <sz val="11"/>
      <name val="Cambria"/>
      <family val="1"/>
    </font>
    <font>
      <b/>
      <sz val="11"/>
      <color rgb="FFFF0000"/>
      <name val="Cambria"/>
      <family val="1"/>
    </font>
    <font>
      <b/>
      <sz val="12"/>
      <name val="Cambria"/>
      <family val="1"/>
    </font>
    <font>
      <strike/>
      <sz val="11"/>
      <color theme="1"/>
      <name val="Cambria"/>
      <family val="1"/>
    </font>
    <font>
      <sz val="12"/>
      <color theme="1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/>
  </cellStyleXfs>
  <cellXfs count="91">
    <xf numFmtId="0" fontId="0" fillId="0" borderId="0" xfId="0"/>
    <xf numFmtId="164" fontId="3" fillId="0" borderId="0" xfId="1" applyNumberFormat="1" applyFont="1"/>
    <xf numFmtId="164" fontId="6" fillId="0" borderId="0" xfId="1" applyNumberFormat="1" applyFont="1" applyAlignment="1">
      <alignment horizontal="left"/>
    </xf>
    <xf numFmtId="165" fontId="7" fillId="0" borderId="1" xfId="1" applyNumberFormat="1" applyFont="1" applyBorder="1" applyAlignment="1">
      <alignment horizontal="left" vertical="center"/>
    </xf>
    <xf numFmtId="164" fontId="6" fillId="0" borderId="1" xfId="1" applyNumberFormat="1" applyFont="1" applyBorder="1" applyAlignment="1"/>
    <xf numFmtId="164" fontId="8" fillId="0" borderId="0" xfId="1" applyNumberFormat="1" applyFont="1"/>
    <xf numFmtId="164" fontId="8" fillId="0" borderId="0" xfId="1" applyNumberFormat="1" applyFont="1" applyAlignment="1">
      <alignment horizontal="right"/>
    </xf>
    <xf numFmtId="164" fontId="5" fillId="0" borderId="2" xfId="1" applyNumberFormat="1" applyFont="1" applyBorder="1" applyAlignment="1">
      <alignment horizontal="center" vertical="center"/>
    </xf>
    <xf numFmtId="164" fontId="5" fillId="0" borderId="2" xfId="1" applyNumberFormat="1" applyFont="1" applyBorder="1" applyAlignment="1">
      <alignment horizontal="center"/>
    </xf>
    <xf numFmtId="164" fontId="5" fillId="0" borderId="0" xfId="1" applyNumberFormat="1" applyFont="1" applyAlignment="1">
      <alignment horizontal="center"/>
    </xf>
    <xf numFmtId="164" fontId="8" fillId="0" borderId="2" xfId="1" applyNumberFormat="1" applyFont="1" applyBorder="1" applyAlignment="1">
      <alignment horizontal="center" vertical="center"/>
    </xf>
    <xf numFmtId="164" fontId="3" fillId="0" borderId="2" xfId="1" applyNumberFormat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164" fontId="3" fillId="0" borderId="6" xfId="1" applyNumberFormat="1" applyFont="1" applyBorder="1"/>
    <xf numFmtId="164" fontId="3" fillId="0" borderId="7" xfId="1" applyNumberFormat="1" applyFont="1" applyBorder="1"/>
    <xf numFmtId="164" fontId="7" fillId="0" borderId="7" xfId="1" applyNumberFormat="1" applyFont="1" applyBorder="1"/>
    <xf numFmtId="164" fontId="7" fillId="0" borderId="8" xfId="1" applyNumberFormat="1" applyFont="1" applyBorder="1"/>
    <xf numFmtId="164" fontId="3" fillId="0" borderId="9" xfId="1" applyNumberFormat="1" applyFont="1" applyBorder="1" applyAlignment="1">
      <alignment horizontal="left" vertical="center"/>
    </xf>
    <xf numFmtId="164" fontId="3" fillId="0" borderId="0" xfId="1" applyNumberFormat="1" applyFont="1" applyBorder="1" applyAlignment="1">
      <alignment horizontal="left" vertical="center"/>
    </xf>
    <xf numFmtId="164" fontId="3" fillId="0" borderId="0" xfId="1" applyNumberFormat="1" applyFont="1" applyBorder="1"/>
    <xf numFmtId="164" fontId="3" fillId="0" borderId="10" xfId="1" applyNumberFormat="1" applyFont="1" applyBorder="1"/>
    <xf numFmtId="164" fontId="3" fillId="0" borderId="9" xfId="1" applyNumberFormat="1" applyFont="1" applyBorder="1" applyAlignment="1">
      <alignment horizontal="center" vertical="center"/>
    </xf>
    <xf numFmtId="164" fontId="3" fillId="0" borderId="0" xfId="1" applyNumberFormat="1" applyFont="1" applyBorder="1" applyAlignment="1">
      <alignment horizontal="center" vertical="center"/>
    </xf>
    <xf numFmtId="164" fontId="6" fillId="0" borderId="0" xfId="1" applyNumberFormat="1" applyFont="1" applyBorder="1" applyAlignment="1"/>
    <xf numFmtId="164" fontId="3" fillId="0" borderId="1" xfId="1" applyNumberFormat="1" applyFont="1" applyBorder="1"/>
    <xf numFmtId="164" fontId="11" fillId="0" borderId="6" xfId="1" applyNumberFormat="1" applyFont="1" applyBorder="1" applyAlignment="1">
      <alignment horizontal="left" vertical="center"/>
    </xf>
    <xf numFmtId="164" fontId="11" fillId="0" borderId="7" xfId="1" applyNumberFormat="1" applyFont="1" applyBorder="1" applyAlignment="1">
      <alignment horizontal="left" vertical="center"/>
    </xf>
    <xf numFmtId="164" fontId="12" fillId="0" borderId="9" xfId="1" applyNumberFormat="1" applyFont="1" applyBorder="1" applyAlignment="1">
      <alignment horizontal="left" vertical="center"/>
    </xf>
    <xf numFmtId="164" fontId="12" fillId="0" borderId="0" xfId="1" applyNumberFormat="1" applyFont="1" applyBorder="1" applyAlignment="1">
      <alignment horizontal="left" vertical="center"/>
    </xf>
    <xf numFmtId="164" fontId="12" fillId="0" borderId="0" xfId="1" applyNumberFormat="1" applyFont="1" applyBorder="1"/>
    <xf numFmtId="164" fontId="7" fillId="0" borderId="10" xfId="1" applyNumberFormat="1" applyFont="1" applyBorder="1"/>
    <xf numFmtId="164" fontId="12" fillId="0" borderId="11" xfId="1" applyNumberFormat="1" applyFont="1" applyBorder="1" applyAlignment="1">
      <alignment horizontal="left" vertical="center"/>
    </xf>
    <xf numFmtId="164" fontId="12" fillId="0" borderId="1" xfId="1" applyNumberFormat="1" applyFont="1" applyBorder="1" applyAlignment="1">
      <alignment horizontal="left" vertical="center"/>
    </xf>
    <xf numFmtId="164" fontId="12" fillId="0" borderId="1" xfId="1" applyNumberFormat="1" applyFont="1" applyBorder="1"/>
    <xf numFmtId="164" fontId="7" fillId="0" borderId="12" xfId="1" applyNumberFormat="1" applyFont="1" applyBorder="1"/>
    <xf numFmtId="164" fontId="4" fillId="0" borderId="0" xfId="1" applyNumberFormat="1" applyFont="1" applyBorder="1"/>
    <xf numFmtId="164" fontId="7" fillId="0" borderId="0" xfId="1" applyNumberFormat="1" applyFont="1" applyBorder="1"/>
    <xf numFmtId="14" fontId="7" fillId="0" borderId="1" xfId="1" applyNumberFormat="1" applyFont="1" applyBorder="1" applyAlignment="1">
      <alignment horizontal="left" vertical="center"/>
    </xf>
    <xf numFmtId="164" fontId="13" fillId="0" borderId="0" xfId="1" applyNumberFormat="1" applyFont="1" applyBorder="1" applyAlignment="1">
      <alignment horizontal="right"/>
    </xf>
    <xf numFmtId="164" fontId="3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2" xfId="0" applyBorder="1"/>
    <xf numFmtId="0" fontId="3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3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4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5" fillId="2" borderId="2" xfId="2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164" fontId="0" fillId="0" borderId="0" xfId="0" applyNumberFormat="1"/>
    <xf numFmtId="22" fontId="17" fillId="3" borderId="2" xfId="0" applyNumberFormat="1" applyFont="1" applyFill="1" applyBorder="1" applyAlignment="1">
      <alignment horizontal="center" vertical="center"/>
    </xf>
    <xf numFmtId="22" fontId="3" fillId="0" borderId="2" xfId="0" applyNumberFormat="1" applyFont="1" applyBorder="1" applyAlignment="1">
      <alignment horizontal="left" vertical="center"/>
    </xf>
    <xf numFmtId="22" fontId="13" fillId="0" borderId="0" xfId="0" applyNumberFormat="1" applyFont="1" applyAlignment="1">
      <alignment horizontal="left" vertical="center"/>
    </xf>
    <xf numFmtId="0" fontId="18" fillId="4" borderId="2" xfId="0" applyFont="1" applyFill="1" applyBorder="1" applyAlignment="1">
      <alignment horizontal="center" vertical="center"/>
    </xf>
    <xf numFmtId="22" fontId="18" fillId="4" borderId="2" xfId="0" applyNumberFormat="1" applyFont="1" applyFill="1" applyBorder="1" applyAlignment="1">
      <alignment horizontal="left" vertical="center"/>
    </xf>
    <xf numFmtId="164" fontId="19" fillId="0" borderId="2" xfId="1" applyNumberFormat="1" applyFont="1" applyBorder="1" applyAlignment="1">
      <alignment horizontal="left" vertical="center"/>
    </xf>
    <xf numFmtId="164" fontId="19" fillId="0" borderId="2" xfId="1" applyNumberFormat="1" applyFont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22" fontId="3" fillId="4" borderId="2" xfId="0" applyNumberFormat="1" applyFont="1" applyFill="1" applyBorder="1" applyAlignment="1">
      <alignment horizontal="left" vertical="center"/>
    </xf>
    <xf numFmtId="164" fontId="12" fillId="0" borderId="0" xfId="1" applyNumberFormat="1" applyFont="1" applyBorder="1" applyAlignment="1">
      <alignment horizontal="left" vertical="center"/>
    </xf>
    <xf numFmtId="164" fontId="12" fillId="0" borderId="11" xfId="1" applyNumberFormat="1" applyFont="1" applyBorder="1" applyAlignment="1">
      <alignment horizontal="left" vertical="center"/>
    </xf>
    <xf numFmtId="164" fontId="12" fillId="0" borderId="1" xfId="1" applyNumberFormat="1" applyFont="1" applyBorder="1" applyAlignment="1">
      <alignment horizontal="left" vertical="center"/>
    </xf>
    <xf numFmtId="164" fontId="12" fillId="0" borderId="12" xfId="1" applyNumberFormat="1" applyFont="1" applyBorder="1" applyAlignment="1">
      <alignment horizontal="left" vertical="center"/>
    </xf>
    <xf numFmtId="164" fontId="12" fillId="0" borderId="9" xfId="1" applyNumberFormat="1" applyFont="1" applyBorder="1" applyAlignment="1">
      <alignment horizontal="left" vertical="center"/>
    </xf>
    <xf numFmtId="164" fontId="12" fillId="0" borderId="0" xfId="1" applyNumberFormat="1" applyFont="1" applyBorder="1" applyAlignment="1">
      <alignment horizontal="left" vertical="center"/>
    </xf>
    <xf numFmtId="164" fontId="12" fillId="0" borderId="10" xfId="1" applyNumberFormat="1" applyFont="1" applyBorder="1" applyAlignment="1">
      <alignment horizontal="left" vertical="center"/>
    </xf>
    <xf numFmtId="164" fontId="2" fillId="0" borderId="0" xfId="1" applyNumberFormat="1" applyFont="1" applyAlignment="1">
      <alignment horizontal="center"/>
    </xf>
    <xf numFmtId="164" fontId="4" fillId="0" borderId="0" xfId="1" applyNumberFormat="1" applyFont="1" applyAlignment="1">
      <alignment horizontal="center"/>
    </xf>
    <xf numFmtId="164" fontId="5" fillId="0" borderId="0" xfId="1" applyNumberFormat="1" applyFont="1" applyBorder="1" applyAlignment="1">
      <alignment horizontal="center"/>
    </xf>
    <xf numFmtId="164" fontId="10" fillId="0" borderId="3" xfId="1" applyNumberFormat="1" applyFont="1" applyBorder="1" applyAlignment="1">
      <alignment horizontal="center" vertical="center"/>
    </xf>
    <xf numFmtId="164" fontId="10" fillId="0" borderId="4" xfId="1" applyNumberFormat="1" applyFont="1" applyBorder="1" applyAlignment="1">
      <alignment horizontal="center" vertical="center"/>
    </xf>
    <xf numFmtId="164" fontId="10" fillId="0" borderId="5" xfId="1" applyNumberFormat="1" applyFont="1" applyBorder="1" applyAlignment="1">
      <alignment horizontal="center" vertical="center"/>
    </xf>
    <xf numFmtId="164" fontId="6" fillId="0" borderId="9" xfId="1" applyNumberFormat="1" applyFont="1" applyBorder="1" applyAlignment="1">
      <alignment horizontal="left" vertical="center"/>
    </xf>
    <xf numFmtId="164" fontId="6" fillId="0" borderId="0" xfId="1" applyNumberFormat="1" applyFont="1" applyBorder="1" applyAlignment="1">
      <alignment horizontal="left" vertical="center"/>
    </xf>
    <xf numFmtId="164" fontId="6" fillId="0" borderId="0" xfId="1" applyNumberFormat="1" applyFont="1" applyBorder="1" applyAlignment="1">
      <alignment horizontal="center"/>
    </xf>
    <xf numFmtId="164" fontId="6" fillId="0" borderId="10" xfId="1" applyNumberFormat="1" applyFont="1" applyBorder="1" applyAlignment="1">
      <alignment horizontal="center"/>
    </xf>
    <xf numFmtId="164" fontId="6" fillId="0" borderId="11" xfId="1" applyNumberFormat="1" applyFont="1" applyBorder="1" applyAlignment="1">
      <alignment horizontal="left" vertical="center"/>
    </xf>
    <xf numFmtId="164" fontId="6" fillId="0" borderId="1" xfId="1" applyNumberFormat="1" applyFont="1" applyBorder="1" applyAlignment="1">
      <alignment horizontal="left" vertical="center"/>
    </xf>
    <xf numFmtId="164" fontId="6" fillId="0" borderId="1" xfId="1" applyNumberFormat="1" applyFont="1" applyBorder="1" applyAlignment="1">
      <alignment horizontal="center"/>
    </xf>
    <xf numFmtId="164" fontId="6" fillId="0" borderId="12" xfId="1" applyNumberFormat="1" applyFont="1" applyBorder="1" applyAlignment="1">
      <alignment horizontal="center"/>
    </xf>
    <xf numFmtId="164" fontId="3" fillId="0" borderId="3" xfId="1" applyNumberFormat="1" applyFont="1" applyBorder="1" applyAlignment="1">
      <alignment horizontal="center" vertical="center"/>
    </xf>
    <xf numFmtId="164" fontId="3" fillId="0" borderId="5" xfId="1" applyNumberFormat="1" applyFont="1" applyBorder="1" applyAlignment="1">
      <alignment horizontal="center" vertical="center"/>
    </xf>
    <xf numFmtId="164" fontId="19" fillId="0" borderId="3" xfId="1" applyNumberFormat="1" applyFont="1" applyBorder="1" applyAlignment="1">
      <alignment horizontal="center" vertical="center"/>
    </xf>
    <xf numFmtId="164" fontId="19" fillId="0" borderId="5" xfId="1" applyNumberFormat="1" applyFont="1" applyBorder="1" applyAlignment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42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111394</xdr:colOff>
      <xdr:row>0</xdr:row>
      <xdr:rowOff>0</xdr:rowOff>
    </xdr:from>
    <xdr:ext cx="1305029" cy="725016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394" y="0"/>
          <a:ext cx="1305029" cy="725016"/>
        </a:xfrm>
        <a:prstGeom prst="rect">
          <a:avLst/>
        </a:prstGeom>
      </xdr:spPr>
    </xdr:pic>
    <xdr:clientData/>
  </xdr:oneCellAnchor>
  <xdr:oneCellAnchor>
    <xdr:from>
      <xdr:col>0</xdr:col>
      <xdr:colOff>157311</xdr:colOff>
      <xdr:row>78</xdr:row>
      <xdr:rowOff>3586</xdr:rowOff>
    </xdr:from>
    <xdr:ext cx="1205325" cy="6696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7311" y="23939351"/>
          <a:ext cx="1205325" cy="669625"/>
        </a:xfrm>
        <a:prstGeom prst="rect">
          <a:avLst/>
        </a:prstGeom>
      </xdr:spPr>
    </xdr:pic>
    <xdr:clientData/>
  </xdr:oneCellAnchor>
  <xdr:oneCellAnchor>
    <xdr:from>
      <xdr:col>0</xdr:col>
      <xdr:colOff>112486</xdr:colOff>
      <xdr:row>117</xdr:row>
      <xdr:rowOff>66338</xdr:rowOff>
    </xdr:from>
    <xdr:ext cx="1097749" cy="609861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2486" y="35969985"/>
          <a:ext cx="1097749" cy="609861"/>
        </a:xfrm>
        <a:prstGeom prst="rect">
          <a:avLst/>
        </a:prstGeom>
      </xdr:spPr>
    </xdr:pic>
    <xdr:clientData/>
  </xdr:oneCellAnchor>
  <xdr:oneCellAnchor>
    <xdr:from>
      <xdr:col>0</xdr:col>
      <xdr:colOff>122825</xdr:colOff>
      <xdr:row>39</xdr:row>
      <xdr:rowOff>30480</xdr:rowOff>
    </xdr:from>
    <xdr:ext cx="1069481" cy="594156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2825" y="11998362"/>
          <a:ext cx="1069481" cy="594156"/>
        </a:xfrm>
        <a:prstGeom prst="rect">
          <a:avLst/>
        </a:prstGeom>
      </xdr:spPr>
    </xdr:pic>
    <xdr:clientData/>
  </xdr:oneCellAnchor>
  <xdr:twoCellAnchor>
    <xdr:from>
      <xdr:col>10</xdr:col>
      <xdr:colOff>974914</xdr:colOff>
      <xdr:row>6</xdr:row>
      <xdr:rowOff>33619</xdr:rowOff>
    </xdr:from>
    <xdr:to>
      <xdr:col>10</xdr:col>
      <xdr:colOff>2308412</xdr:colOff>
      <xdr:row>6</xdr:row>
      <xdr:rowOff>347383</xdr:rowOff>
    </xdr:to>
    <xdr:sp macro="[0]!_xludf.search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0925738" y="1680884"/>
          <a:ext cx="1333498" cy="313764"/>
        </a:xfrm>
        <a:prstGeom prst="roundRect">
          <a:avLst/>
        </a:prstGeom>
        <a:blipFill>
          <a:blip xmlns:r="http://schemas.openxmlformats.org/officeDocument/2006/relationships" r:embed="rId2"/>
          <a:tile tx="0" ty="0" sx="100000" sy="100000" flip="none" algn="tl"/>
        </a:blip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Cambria" panose="02040503050406030204" pitchFamily="18" charset="0"/>
              <a:ea typeface="Cambria" panose="02040503050406030204" pitchFamily="18" charset="0"/>
            </a:rPr>
            <a:t>SEARCH</a:t>
          </a:r>
        </a:p>
      </xdr:txBody>
    </xdr:sp>
    <xdr:clientData/>
  </xdr:twoCellAnchor>
  <xdr:twoCellAnchor>
    <xdr:from>
      <xdr:col>8</xdr:col>
      <xdr:colOff>11206</xdr:colOff>
      <xdr:row>0</xdr:row>
      <xdr:rowOff>100853</xdr:rowOff>
    </xdr:from>
    <xdr:to>
      <xdr:col>10</xdr:col>
      <xdr:colOff>672352</xdr:colOff>
      <xdr:row>1</xdr:row>
      <xdr:rowOff>134471</xdr:rowOff>
    </xdr:to>
    <xdr:sp macro="[0]!prnt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020735" y="100853"/>
          <a:ext cx="1602441" cy="381000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Cambria" panose="02040503050406030204" pitchFamily="18" charset="0"/>
              <a:ea typeface="Cambria" panose="02040503050406030204" pitchFamily="18" charset="0"/>
            </a:rPr>
            <a:t>PRINT</a:t>
          </a:r>
        </a:p>
      </xdr:txBody>
    </xdr:sp>
    <xdr:clientData/>
  </xdr:twoCellAnchor>
  <xdr:twoCellAnchor>
    <xdr:from>
      <xdr:col>10</xdr:col>
      <xdr:colOff>1367118</xdr:colOff>
      <xdr:row>0</xdr:row>
      <xdr:rowOff>89648</xdr:rowOff>
    </xdr:from>
    <xdr:to>
      <xdr:col>11</xdr:col>
      <xdr:colOff>1</xdr:colOff>
      <xdr:row>1</xdr:row>
      <xdr:rowOff>134472</xdr:rowOff>
    </xdr:to>
    <xdr:sp macro="[0]!clearaddon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317942" y="89648"/>
          <a:ext cx="1916206" cy="392206"/>
        </a:xfrm>
        <a:prstGeom prst="roundRect">
          <a:avLst/>
        </a:prstGeom>
        <a:blipFill>
          <a:blip xmlns:r="http://schemas.openxmlformats.org/officeDocument/2006/relationships" r:embed="rId4"/>
          <a:tile tx="0" ty="0" sx="100000" sy="100000" flip="none" algn="tl"/>
        </a:blip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NEW VOUCHER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56"/>
  <sheetViews>
    <sheetView showGridLines="0" tabSelected="1" zoomScale="85" zoomScaleNormal="85" zoomScaleSheetLayoutView="100" workbookViewId="0">
      <selection activeCell="B13" sqref="B13"/>
    </sheetView>
  </sheetViews>
  <sheetFormatPr defaultColWidth="8.88671875" defaultRowHeight="13.8" x14ac:dyDescent="0.25"/>
  <cols>
    <col min="1" max="1" width="6.88671875" style="39" customWidth="1"/>
    <col min="2" max="2" width="10.6640625" style="39" customWidth="1"/>
    <col min="3" max="3" width="60.88671875" style="1" customWidth="1"/>
    <col min="4" max="5" width="8.6640625" style="1" customWidth="1"/>
    <col min="6" max="6" width="17.109375" style="1" customWidth="1"/>
    <col min="7" max="7" width="17.6640625" style="1" customWidth="1"/>
    <col min="8" max="8" width="4.44140625" style="1" customWidth="1"/>
    <col min="9" max="9" width="5.33203125" style="1" customWidth="1"/>
    <col min="10" max="10" width="8.88671875" style="1"/>
    <col min="11" max="11" width="49.33203125" style="1" bestFit="1" customWidth="1"/>
    <col min="12" max="16384" width="8.88671875" style="1"/>
  </cols>
  <sheetData>
    <row r="1" spans="1:11" ht="27.6" x14ac:dyDescent="0.45">
      <c r="A1" s="73" t="s">
        <v>221</v>
      </c>
      <c r="B1" s="73"/>
      <c r="C1" s="73"/>
      <c r="D1" s="73"/>
      <c r="E1" s="73"/>
      <c r="F1" s="73"/>
      <c r="G1" s="73"/>
    </row>
    <row r="2" spans="1:11" x14ac:dyDescent="0.25">
      <c r="A2" s="74" t="s">
        <v>0</v>
      </c>
      <c r="B2" s="74"/>
      <c r="C2" s="74"/>
      <c r="D2" s="74"/>
      <c r="E2" s="74"/>
      <c r="F2" s="74"/>
      <c r="G2" s="74"/>
    </row>
    <row r="3" spans="1:11" ht="20.399999999999999" x14ac:dyDescent="0.35">
      <c r="A3" s="75" t="s">
        <v>1</v>
      </c>
      <c r="B3" s="75"/>
      <c r="C3" s="75"/>
      <c r="D3" s="75"/>
      <c r="E3" s="75"/>
      <c r="F3" s="75"/>
      <c r="G3" s="75"/>
    </row>
    <row r="4" spans="1:11" s="5" customFormat="1" ht="17.399999999999999" x14ac:dyDescent="0.3">
      <c r="A4" s="2" t="s">
        <v>2</v>
      </c>
      <c r="B4" s="2"/>
      <c r="C4" s="3">
        <f ca="1">NOW()</f>
        <v>44764.997536226852</v>
      </c>
      <c r="D4" s="4" t="s">
        <v>3</v>
      </c>
      <c r="G4" s="6">
        <v>1191</v>
      </c>
    </row>
    <row r="5" spans="1:11" s="9" customFormat="1" ht="20.399999999999999" x14ac:dyDescent="0.35">
      <c r="A5" s="7" t="s">
        <v>4</v>
      </c>
      <c r="B5" s="7" t="s">
        <v>5</v>
      </c>
      <c r="C5" s="8" t="s">
        <v>6</v>
      </c>
      <c r="D5" s="8" t="s">
        <v>7</v>
      </c>
      <c r="E5" s="8" t="s">
        <v>8</v>
      </c>
      <c r="F5" s="8" t="s">
        <v>9</v>
      </c>
      <c r="G5" s="8" t="s">
        <v>10</v>
      </c>
      <c r="J5" s="52" t="s">
        <v>5</v>
      </c>
      <c r="K5" s="52" t="s">
        <v>11</v>
      </c>
    </row>
    <row r="6" spans="1:11" ht="30" customHeight="1" x14ac:dyDescent="0.25">
      <c r="A6" s="10">
        <v>1</v>
      </c>
      <c r="B6" s="10">
        <v>1101</v>
      </c>
      <c r="C6" s="62" t="str">
        <f>IF(B6="","",VLOOKUP(B6,Setup!$B$3:$C$1023,2,0))</f>
        <v>LED Tube Light -23W - Used</v>
      </c>
      <c r="D6" s="12" t="str">
        <f t="shared" ref="D6:D25" si="0">IF(C6="","",VLOOKUP(B6,al,4,0))</f>
        <v>Nos.</v>
      </c>
      <c r="E6" s="12">
        <v>20</v>
      </c>
      <c r="F6" s="63">
        <f t="shared" ref="F6:F25" si="1">IF(E6="","",VLOOKUP(B6,al,5,0))</f>
        <v>125</v>
      </c>
      <c r="G6" s="63">
        <f>IF(E6="","",E6*F6)</f>
        <v>2500</v>
      </c>
      <c r="J6" s="12"/>
      <c r="K6" s="12" t="s">
        <v>220</v>
      </c>
    </row>
    <row r="7" spans="1:11" ht="30" customHeight="1" x14ac:dyDescent="0.25">
      <c r="A7" s="10">
        <v>2</v>
      </c>
      <c r="B7" s="10">
        <v>1105</v>
      </c>
      <c r="C7" s="62" t="str">
        <f>IF(B7="","",VLOOKUP(B7,Setup!$B$3:$C$1023,2,0))</f>
        <v>LED Bulb-20W - New</v>
      </c>
      <c r="D7" s="12" t="str">
        <f t="shared" si="0"/>
        <v>Nos.</v>
      </c>
      <c r="E7" s="12">
        <v>15</v>
      </c>
      <c r="F7" s="63">
        <f t="shared" si="1"/>
        <v>140</v>
      </c>
      <c r="G7" s="63">
        <f t="shared" ref="G7:G25" si="2">IF(E7="","",E7*F7)</f>
        <v>2100</v>
      </c>
    </row>
    <row r="8" spans="1:11" ht="30" customHeight="1" x14ac:dyDescent="0.25">
      <c r="A8" s="10">
        <v>3</v>
      </c>
      <c r="B8" s="10">
        <v>1108</v>
      </c>
      <c r="C8" s="62" t="str">
        <f>IF(B8="","",VLOOKUP(B8,Setup!$B$3:$C$1023,2,0))</f>
        <v>Light Holder - Used</v>
      </c>
      <c r="D8" s="12" t="str">
        <f t="shared" si="0"/>
        <v>Nos.</v>
      </c>
      <c r="E8" s="12">
        <v>60</v>
      </c>
      <c r="F8" s="63">
        <f t="shared" si="1"/>
        <v>5</v>
      </c>
      <c r="G8" s="63">
        <f t="shared" si="2"/>
        <v>300</v>
      </c>
      <c r="J8" s="43" t="s">
        <v>5</v>
      </c>
      <c r="K8" s="45" t="s">
        <v>11</v>
      </c>
    </row>
    <row r="9" spans="1:11" ht="30" customHeight="1" x14ac:dyDescent="0.25">
      <c r="A9" s="10">
        <v>4</v>
      </c>
      <c r="B9" s="10">
        <v>1109</v>
      </c>
      <c r="C9" s="62" t="str">
        <f>IF(B9="","",VLOOKUP(B9,Setup!$B$3:$C$1023,2,0))</f>
        <v>Flood Light (China) - 100W IP - 65/68 - Usesd</v>
      </c>
      <c r="D9" s="12" t="str">
        <f t="shared" si="0"/>
        <v>Nos.</v>
      </c>
      <c r="E9" s="12">
        <v>2</v>
      </c>
      <c r="F9" s="63">
        <f t="shared" si="1"/>
        <v>400</v>
      </c>
      <c r="G9" s="63">
        <f t="shared" si="2"/>
        <v>800</v>
      </c>
      <c r="J9" s="42">
        <v>1121</v>
      </c>
      <c r="K9" s="46" t="s">
        <v>131</v>
      </c>
    </row>
    <row r="10" spans="1:11" ht="30" customHeight="1" x14ac:dyDescent="0.25">
      <c r="A10" s="10">
        <v>5</v>
      </c>
      <c r="B10" s="10">
        <v>1113</v>
      </c>
      <c r="C10" s="62" t="str">
        <f>IF(B10="","",VLOOKUP(B10,Setup!$B$3:$C$1023,2,0))</f>
        <v>Ceiling Fan (BRB Lovely, White Color) - Used</v>
      </c>
      <c r="D10" s="12" t="str">
        <f t="shared" si="0"/>
        <v>Nos.</v>
      </c>
      <c r="E10" s="12">
        <v>4</v>
      </c>
      <c r="F10" s="63">
        <f t="shared" si="1"/>
        <v>1000</v>
      </c>
      <c r="G10" s="63">
        <f t="shared" si="2"/>
        <v>4000</v>
      </c>
      <c r="J10" s="42"/>
      <c r="K10" s="46"/>
    </row>
    <row r="11" spans="1:11" ht="30" customHeight="1" x14ac:dyDescent="0.25">
      <c r="A11" s="10">
        <v>6</v>
      </c>
      <c r="B11" s="10">
        <v>1121</v>
      </c>
      <c r="C11" s="62" t="str">
        <f>IF(B11="","",VLOOKUP(B11,Setup!$B$3:$C$1023,2,0))</f>
        <v>DOL Starter (1.1/2 KW) - New</v>
      </c>
      <c r="D11" s="12" t="str">
        <f t="shared" si="0"/>
        <v>Nos.</v>
      </c>
      <c r="E11" s="12">
        <v>2</v>
      </c>
      <c r="F11" s="63">
        <f t="shared" si="1"/>
        <v>5000</v>
      </c>
      <c r="G11" s="63">
        <f t="shared" si="2"/>
        <v>10000</v>
      </c>
      <c r="J11" s="42"/>
      <c r="K11" s="46"/>
    </row>
    <row r="12" spans="1:11" ht="30" customHeight="1" x14ac:dyDescent="0.25">
      <c r="A12" s="10">
        <v>7</v>
      </c>
      <c r="B12" s="10">
        <v>1119</v>
      </c>
      <c r="C12" s="62" t="str">
        <f>IF(B12="","",VLOOKUP(B12,Setup!$B$3:$C$1023,2,0))</f>
        <v>Exhaust Fan (Industrial Type, 1.5'x1.5')</v>
      </c>
      <c r="D12" s="12" t="str">
        <f t="shared" si="0"/>
        <v>Nos.</v>
      </c>
      <c r="E12" s="12">
        <v>2</v>
      </c>
      <c r="F12" s="63">
        <f t="shared" si="1"/>
        <v>2000</v>
      </c>
      <c r="G12" s="63">
        <f t="shared" si="2"/>
        <v>4000</v>
      </c>
      <c r="J12" s="42"/>
      <c r="K12" s="46"/>
    </row>
    <row r="13" spans="1:11" ht="30" customHeight="1" x14ac:dyDescent="0.25">
      <c r="A13" s="10">
        <v>8</v>
      </c>
      <c r="B13" s="10"/>
      <c r="C13" s="62" t="str">
        <f>IF(B13="","",VLOOKUP(B13,Setup!$B$3:$C$1023,2,0))</f>
        <v/>
      </c>
      <c r="D13" s="12" t="str">
        <f t="shared" si="0"/>
        <v/>
      </c>
      <c r="E13" s="12"/>
      <c r="F13" s="63" t="str">
        <f t="shared" si="1"/>
        <v/>
      </c>
      <c r="G13" s="63" t="str">
        <f t="shared" si="2"/>
        <v/>
      </c>
      <c r="J13" s="42"/>
      <c r="K13" s="46"/>
    </row>
    <row r="14" spans="1:11" ht="30" customHeight="1" x14ac:dyDescent="0.25">
      <c r="A14" s="10">
        <v>9</v>
      </c>
      <c r="B14" s="10"/>
      <c r="C14" s="62" t="str">
        <f>IF(B14="","",VLOOKUP(B14,Setup!$B$3:$C$1023,2,0))</f>
        <v/>
      </c>
      <c r="D14" s="12" t="str">
        <f t="shared" si="0"/>
        <v/>
      </c>
      <c r="E14" s="12"/>
      <c r="F14" s="63" t="str">
        <f t="shared" si="1"/>
        <v/>
      </c>
      <c r="G14" s="63" t="str">
        <f t="shared" si="2"/>
        <v/>
      </c>
      <c r="J14" s="42"/>
      <c r="K14" s="46"/>
    </row>
    <row r="15" spans="1:11" ht="30" customHeight="1" x14ac:dyDescent="0.25">
      <c r="A15" s="10">
        <v>10</v>
      </c>
      <c r="B15" s="10"/>
      <c r="C15" s="62" t="str">
        <f>IF(B15="","",VLOOKUP(B15,Setup!$B$3:$C$1023,2,0))</f>
        <v/>
      </c>
      <c r="D15" s="12" t="str">
        <f t="shared" si="0"/>
        <v/>
      </c>
      <c r="E15" s="12"/>
      <c r="F15" s="63" t="str">
        <f t="shared" si="1"/>
        <v/>
      </c>
      <c r="G15" s="63" t="str">
        <f t="shared" si="2"/>
        <v/>
      </c>
      <c r="J15" s="42"/>
      <c r="K15" s="46"/>
    </row>
    <row r="16" spans="1:11" ht="30" customHeight="1" x14ac:dyDescent="0.25">
      <c r="A16" s="10">
        <v>11</v>
      </c>
      <c r="B16" s="10"/>
      <c r="C16" s="62" t="str">
        <f>IF(B16="","",VLOOKUP(B16,Setup!$B$3:$C$1023,2,0))</f>
        <v/>
      </c>
      <c r="D16" s="12" t="str">
        <f t="shared" si="0"/>
        <v/>
      </c>
      <c r="E16" s="12"/>
      <c r="F16" s="63" t="str">
        <f t="shared" si="1"/>
        <v/>
      </c>
      <c r="G16" s="63" t="str">
        <f t="shared" si="2"/>
        <v/>
      </c>
      <c r="J16" s="42"/>
      <c r="K16" s="46"/>
    </row>
    <row r="17" spans="1:11" ht="30" customHeight="1" x14ac:dyDescent="0.25">
      <c r="A17" s="10">
        <v>12</v>
      </c>
      <c r="B17" s="10"/>
      <c r="C17" s="62" t="str">
        <f>IF(B17="","",VLOOKUP(B17,Setup!$B$3:$C$1023,2,0))</f>
        <v/>
      </c>
      <c r="D17" s="12" t="str">
        <f t="shared" si="0"/>
        <v/>
      </c>
      <c r="E17" s="12"/>
      <c r="F17" s="63" t="str">
        <f t="shared" si="1"/>
        <v/>
      </c>
      <c r="G17" s="63" t="str">
        <f t="shared" si="2"/>
        <v/>
      </c>
      <c r="J17" s="42"/>
      <c r="K17" s="46"/>
    </row>
    <row r="18" spans="1:11" ht="30" customHeight="1" x14ac:dyDescent="0.25">
      <c r="A18" s="10">
        <v>13</v>
      </c>
      <c r="B18" s="10"/>
      <c r="C18" s="62" t="str">
        <f>IF(B18="","",VLOOKUP(B18,Setup!$B$3:$C$1023,2,0))</f>
        <v/>
      </c>
      <c r="D18" s="12" t="str">
        <f t="shared" si="0"/>
        <v/>
      </c>
      <c r="E18" s="12"/>
      <c r="F18" s="63" t="str">
        <f t="shared" si="1"/>
        <v/>
      </c>
      <c r="G18" s="63" t="str">
        <f t="shared" si="2"/>
        <v/>
      </c>
    </row>
    <row r="19" spans="1:11" ht="30" customHeight="1" x14ac:dyDescent="0.25">
      <c r="A19" s="10">
        <v>14</v>
      </c>
      <c r="B19" s="10"/>
      <c r="C19" s="62" t="str">
        <f>IF(B19="","",VLOOKUP(B19,Setup!$B$3:$C$1023,2,0))</f>
        <v/>
      </c>
      <c r="D19" s="12" t="str">
        <f t="shared" si="0"/>
        <v/>
      </c>
      <c r="E19" s="12"/>
      <c r="F19" s="63" t="str">
        <f t="shared" si="1"/>
        <v/>
      </c>
      <c r="G19" s="63" t="str">
        <f t="shared" si="2"/>
        <v/>
      </c>
    </row>
    <row r="20" spans="1:11" ht="30" customHeight="1" x14ac:dyDescent="0.25">
      <c r="A20" s="10">
        <v>15</v>
      </c>
      <c r="B20" s="10"/>
      <c r="C20" s="62" t="str">
        <f>IF(B20="","",VLOOKUP(B20,Setup!$B$3:$C$1023,2,0))</f>
        <v/>
      </c>
      <c r="D20" s="12" t="str">
        <f t="shared" si="0"/>
        <v/>
      </c>
      <c r="E20" s="12"/>
      <c r="F20" s="63" t="str">
        <f t="shared" si="1"/>
        <v/>
      </c>
      <c r="G20" s="63" t="str">
        <f t="shared" si="2"/>
        <v/>
      </c>
    </row>
    <row r="21" spans="1:11" ht="30" customHeight="1" x14ac:dyDescent="0.25">
      <c r="A21" s="10">
        <v>16</v>
      </c>
      <c r="B21" s="10"/>
      <c r="C21" s="62" t="str">
        <f>IF(B21="","",VLOOKUP(B21,Setup!$B$3:$C$1023,2,0))</f>
        <v/>
      </c>
      <c r="D21" s="12" t="str">
        <f t="shared" si="0"/>
        <v/>
      </c>
      <c r="E21" s="12"/>
      <c r="F21" s="63" t="str">
        <f t="shared" si="1"/>
        <v/>
      </c>
      <c r="G21" s="63" t="str">
        <f t="shared" si="2"/>
        <v/>
      </c>
    </row>
    <row r="22" spans="1:11" ht="30" customHeight="1" x14ac:dyDescent="0.25">
      <c r="A22" s="10">
        <v>17</v>
      </c>
      <c r="B22" s="10"/>
      <c r="C22" s="62" t="str">
        <f>IF(B22="","",VLOOKUP(B22,Setup!$B$3:$C$1023,2,0))</f>
        <v/>
      </c>
      <c r="D22" s="12" t="str">
        <f t="shared" si="0"/>
        <v/>
      </c>
      <c r="E22" s="12"/>
      <c r="F22" s="63" t="str">
        <f t="shared" si="1"/>
        <v/>
      </c>
      <c r="G22" s="63" t="str">
        <f t="shared" si="2"/>
        <v/>
      </c>
    </row>
    <row r="23" spans="1:11" ht="30" customHeight="1" x14ac:dyDescent="0.25">
      <c r="A23" s="10">
        <v>18</v>
      </c>
      <c r="B23" s="10"/>
      <c r="C23" s="62" t="str">
        <f>IF(B23="","",VLOOKUP(B23,Setup!$B$3:$C$1023,2,0))</f>
        <v/>
      </c>
      <c r="D23" s="12" t="str">
        <f t="shared" si="0"/>
        <v/>
      </c>
      <c r="E23" s="12"/>
      <c r="F23" s="63" t="str">
        <f t="shared" si="1"/>
        <v/>
      </c>
      <c r="G23" s="63" t="str">
        <f t="shared" si="2"/>
        <v/>
      </c>
    </row>
    <row r="24" spans="1:11" ht="30" customHeight="1" x14ac:dyDescent="0.25">
      <c r="A24" s="10">
        <v>19</v>
      </c>
      <c r="B24" s="10"/>
      <c r="C24" s="62" t="str">
        <f>IF(B24="","",VLOOKUP(B24,Setup!$B$3:$C$1023,2,0))</f>
        <v/>
      </c>
      <c r="D24" s="12" t="str">
        <f t="shared" si="0"/>
        <v/>
      </c>
      <c r="E24" s="12"/>
      <c r="F24" s="63" t="str">
        <f t="shared" si="1"/>
        <v/>
      </c>
      <c r="G24" s="63" t="str">
        <f t="shared" si="2"/>
        <v/>
      </c>
    </row>
    <row r="25" spans="1:11" ht="30" customHeight="1" x14ac:dyDescent="0.25">
      <c r="A25" s="10">
        <v>20</v>
      </c>
      <c r="B25" s="10"/>
      <c r="C25" s="62" t="str">
        <f>IF(B25="","",VLOOKUP(B25,Setup!$B$3:$C$1023,2,0))</f>
        <v/>
      </c>
      <c r="D25" s="12" t="str">
        <f t="shared" si="0"/>
        <v/>
      </c>
      <c r="E25" s="12"/>
      <c r="F25" s="63" t="str">
        <f t="shared" si="1"/>
        <v/>
      </c>
      <c r="G25" s="63" t="str">
        <f t="shared" si="2"/>
        <v/>
      </c>
    </row>
    <row r="26" spans="1:11" ht="30" customHeight="1" x14ac:dyDescent="0.25">
      <c r="A26" s="76" t="s">
        <v>15</v>
      </c>
      <c r="B26" s="77"/>
      <c r="C26" s="77"/>
      <c r="D26" s="78"/>
      <c r="E26" s="12">
        <f>SUM(E6:E25)</f>
        <v>105</v>
      </c>
      <c r="F26" s="89">
        <f>SUM(G6:G25)</f>
        <v>23700</v>
      </c>
      <c r="G26" s="90"/>
    </row>
    <row r="28" spans="1:11" ht="16.8" x14ac:dyDescent="0.3">
      <c r="A28" s="13"/>
      <c r="B28" s="14"/>
      <c r="C28" s="15"/>
      <c r="D28" s="15"/>
      <c r="E28" s="15"/>
      <c r="F28" s="15"/>
      <c r="G28" s="16"/>
    </row>
    <row r="29" spans="1:11" x14ac:dyDescent="0.25">
      <c r="A29" s="17"/>
      <c r="B29" s="18"/>
      <c r="C29" s="19"/>
      <c r="D29" s="19"/>
      <c r="E29" s="19"/>
      <c r="F29" s="19"/>
      <c r="G29" s="20"/>
    </row>
    <row r="30" spans="1:11" x14ac:dyDescent="0.25">
      <c r="A30" s="21"/>
      <c r="B30" s="22"/>
      <c r="C30" s="19"/>
      <c r="D30" s="19"/>
      <c r="E30" s="19"/>
      <c r="F30" s="19"/>
      <c r="G30" s="20"/>
    </row>
    <row r="31" spans="1:11" x14ac:dyDescent="0.25">
      <c r="A31" s="21"/>
      <c r="B31" s="22"/>
      <c r="C31" s="19"/>
      <c r="D31" s="19"/>
      <c r="E31" s="19"/>
      <c r="F31" s="19"/>
      <c r="G31" s="20"/>
    </row>
    <row r="32" spans="1:11" ht="17.399999999999999" x14ac:dyDescent="0.3">
      <c r="A32" s="79" t="s">
        <v>16</v>
      </c>
      <c r="B32" s="80"/>
      <c r="C32" s="80"/>
      <c r="D32" s="19"/>
      <c r="E32" s="23"/>
      <c r="F32" s="81" t="s">
        <v>17</v>
      </c>
      <c r="G32" s="82"/>
    </row>
    <row r="33" spans="1:7" ht="17.399999999999999" x14ac:dyDescent="0.3">
      <c r="A33" s="83" t="s">
        <v>18</v>
      </c>
      <c r="B33" s="84"/>
      <c r="C33" s="84"/>
      <c r="D33" s="24"/>
      <c r="E33" s="4"/>
      <c r="F33" s="85" t="s">
        <v>19</v>
      </c>
      <c r="G33" s="86"/>
    </row>
    <row r="35" spans="1:7" ht="16.8" x14ac:dyDescent="0.3">
      <c r="A35" s="25" t="s">
        <v>20</v>
      </c>
      <c r="B35" s="26"/>
      <c r="C35" s="15"/>
      <c r="D35" s="15"/>
      <c r="E35" s="15"/>
      <c r="F35" s="15"/>
      <c r="G35" s="16"/>
    </row>
    <row r="36" spans="1:7" ht="16.8" x14ac:dyDescent="0.3">
      <c r="A36" s="27" t="s">
        <v>21</v>
      </c>
      <c r="B36" s="28"/>
      <c r="C36" s="29"/>
      <c r="D36" s="28"/>
      <c r="E36" s="28" t="s">
        <v>22</v>
      </c>
      <c r="F36" s="29"/>
      <c r="G36" s="30"/>
    </row>
    <row r="37" spans="1:7" ht="16.8" x14ac:dyDescent="0.3">
      <c r="A37" s="27" t="s">
        <v>42</v>
      </c>
      <c r="B37" s="28"/>
      <c r="C37" s="29"/>
      <c r="D37" s="28"/>
      <c r="E37" s="28" t="s">
        <v>23</v>
      </c>
      <c r="F37" s="29"/>
      <c r="G37" s="30"/>
    </row>
    <row r="38" spans="1:7" ht="16.8" x14ac:dyDescent="0.3">
      <c r="A38" s="31" t="s">
        <v>24</v>
      </c>
      <c r="B38" s="32"/>
      <c r="C38" s="33"/>
      <c r="D38" s="33"/>
      <c r="E38" s="33"/>
      <c r="F38" s="33"/>
      <c r="G38" s="34"/>
    </row>
    <row r="39" spans="1:7" ht="14.4" customHeight="1" x14ac:dyDescent="0.3">
      <c r="A39" s="35" t="s">
        <v>25</v>
      </c>
      <c r="B39" s="35"/>
      <c r="C39" s="36"/>
      <c r="D39" s="36"/>
      <c r="E39" s="36"/>
      <c r="F39" s="36"/>
      <c r="G39" s="36"/>
    </row>
    <row r="40" spans="1:7" ht="27.6" x14ac:dyDescent="0.45">
      <c r="A40" s="73" t="s">
        <v>221</v>
      </c>
      <c r="B40" s="73"/>
      <c r="C40" s="73"/>
      <c r="D40" s="73"/>
      <c r="E40" s="73"/>
      <c r="F40" s="73"/>
      <c r="G40" s="73"/>
    </row>
    <row r="41" spans="1:7" x14ac:dyDescent="0.25">
      <c r="A41" s="74" t="s">
        <v>0</v>
      </c>
      <c r="B41" s="74"/>
      <c r="C41" s="74"/>
      <c r="D41" s="74"/>
      <c r="E41" s="74"/>
      <c r="F41" s="74"/>
      <c r="G41" s="74"/>
    </row>
    <row r="42" spans="1:7" ht="20.399999999999999" x14ac:dyDescent="0.35">
      <c r="A42" s="75" t="s">
        <v>1</v>
      </c>
      <c r="B42" s="75"/>
      <c r="C42" s="75"/>
      <c r="D42" s="75"/>
      <c r="E42" s="75"/>
      <c r="F42" s="75"/>
      <c r="G42" s="75"/>
    </row>
    <row r="43" spans="1:7" s="5" customFormat="1" ht="17.399999999999999" x14ac:dyDescent="0.3">
      <c r="A43" s="2" t="s">
        <v>2</v>
      </c>
      <c r="B43" s="2"/>
      <c r="C43" s="37">
        <f ca="1">NOW()</f>
        <v>44764.997536226852</v>
      </c>
      <c r="D43" s="4" t="s">
        <v>3</v>
      </c>
      <c r="G43" s="6">
        <f>G4</f>
        <v>1191</v>
      </c>
    </row>
    <row r="44" spans="1:7" s="9" customFormat="1" ht="20.399999999999999" x14ac:dyDescent="0.35">
      <c r="A44" s="7" t="s">
        <v>4</v>
      </c>
      <c r="B44" s="7" t="s">
        <v>5</v>
      </c>
      <c r="C44" s="8" t="s">
        <v>6</v>
      </c>
      <c r="D44" s="8" t="s">
        <v>7</v>
      </c>
      <c r="E44" s="8" t="s">
        <v>8</v>
      </c>
      <c r="F44" s="8" t="s">
        <v>9</v>
      </c>
      <c r="G44" s="8" t="s">
        <v>10</v>
      </c>
    </row>
    <row r="45" spans="1:7" ht="30" customHeight="1" x14ac:dyDescent="0.25">
      <c r="A45" s="10">
        <v>1</v>
      </c>
      <c r="B45" s="10">
        <f t="shared" ref="B45:G60" si="3">B6</f>
        <v>1101</v>
      </c>
      <c r="C45" s="62" t="str">
        <f t="shared" si="3"/>
        <v>LED Tube Light -23W - Used</v>
      </c>
      <c r="D45" s="12" t="str">
        <f t="shared" si="3"/>
        <v>Nos.</v>
      </c>
      <c r="E45" s="12">
        <f t="shared" si="3"/>
        <v>20</v>
      </c>
      <c r="F45" s="12">
        <f t="shared" si="3"/>
        <v>125</v>
      </c>
      <c r="G45" s="12">
        <f t="shared" si="3"/>
        <v>2500</v>
      </c>
    </row>
    <row r="46" spans="1:7" ht="30" customHeight="1" x14ac:dyDescent="0.25">
      <c r="A46" s="10">
        <v>2</v>
      </c>
      <c r="B46" s="10">
        <f t="shared" si="3"/>
        <v>1105</v>
      </c>
      <c r="C46" s="62" t="str">
        <f t="shared" si="3"/>
        <v>LED Bulb-20W - New</v>
      </c>
      <c r="D46" s="12" t="str">
        <f t="shared" si="3"/>
        <v>Nos.</v>
      </c>
      <c r="E46" s="12">
        <f t="shared" si="3"/>
        <v>15</v>
      </c>
      <c r="F46" s="12">
        <f t="shared" si="3"/>
        <v>140</v>
      </c>
      <c r="G46" s="12">
        <f t="shared" si="3"/>
        <v>2100</v>
      </c>
    </row>
    <row r="47" spans="1:7" ht="30" customHeight="1" x14ac:dyDescent="0.25">
      <c r="A47" s="10">
        <v>3</v>
      </c>
      <c r="B47" s="10">
        <f t="shared" si="3"/>
        <v>1108</v>
      </c>
      <c r="C47" s="62" t="str">
        <f t="shared" si="3"/>
        <v>Light Holder - Used</v>
      </c>
      <c r="D47" s="12" t="str">
        <f t="shared" si="3"/>
        <v>Nos.</v>
      </c>
      <c r="E47" s="12">
        <f t="shared" si="3"/>
        <v>60</v>
      </c>
      <c r="F47" s="12">
        <f t="shared" si="3"/>
        <v>5</v>
      </c>
      <c r="G47" s="12">
        <f t="shared" si="3"/>
        <v>300</v>
      </c>
    </row>
    <row r="48" spans="1:7" ht="30" customHeight="1" x14ac:dyDescent="0.25">
      <c r="A48" s="10">
        <v>4</v>
      </c>
      <c r="B48" s="10">
        <f t="shared" si="3"/>
        <v>1109</v>
      </c>
      <c r="C48" s="62" t="str">
        <f t="shared" si="3"/>
        <v>Flood Light (China) - 100W IP - 65/68 - Usesd</v>
      </c>
      <c r="D48" s="12" t="str">
        <f t="shared" si="3"/>
        <v>Nos.</v>
      </c>
      <c r="E48" s="12">
        <f t="shared" si="3"/>
        <v>2</v>
      </c>
      <c r="F48" s="12">
        <f t="shared" si="3"/>
        <v>400</v>
      </c>
      <c r="G48" s="12">
        <f t="shared" si="3"/>
        <v>800</v>
      </c>
    </row>
    <row r="49" spans="1:7" ht="30" customHeight="1" x14ac:dyDescent="0.25">
      <c r="A49" s="10">
        <v>5</v>
      </c>
      <c r="B49" s="10">
        <f t="shared" si="3"/>
        <v>1113</v>
      </c>
      <c r="C49" s="62" t="str">
        <f t="shared" si="3"/>
        <v>Ceiling Fan (BRB Lovely, White Color) - Used</v>
      </c>
      <c r="D49" s="12" t="str">
        <f t="shared" si="3"/>
        <v>Nos.</v>
      </c>
      <c r="E49" s="12">
        <f t="shared" si="3"/>
        <v>4</v>
      </c>
      <c r="F49" s="12">
        <f t="shared" si="3"/>
        <v>1000</v>
      </c>
      <c r="G49" s="12">
        <f t="shared" si="3"/>
        <v>4000</v>
      </c>
    </row>
    <row r="50" spans="1:7" ht="30" customHeight="1" x14ac:dyDescent="0.25">
      <c r="A50" s="10">
        <v>6</v>
      </c>
      <c r="B50" s="10">
        <f t="shared" si="3"/>
        <v>1121</v>
      </c>
      <c r="C50" s="62" t="str">
        <f t="shared" si="3"/>
        <v>DOL Starter (1.1/2 KW) - New</v>
      </c>
      <c r="D50" s="12" t="str">
        <f t="shared" si="3"/>
        <v>Nos.</v>
      </c>
      <c r="E50" s="12">
        <f t="shared" si="3"/>
        <v>2</v>
      </c>
      <c r="F50" s="12">
        <f t="shared" si="3"/>
        <v>5000</v>
      </c>
      <c r="G50" s="12">
        <f t="shared" si="3"/>
        <v>10000</v>
      </c>
    </row>
    <row r="51" spans="1:7" ht="30" customHeight="1" x14ac:dyDescent="0.25">
      <c r="A51" s="10">
        <v>7</v>
      </c>
      <c r="B51" s="10">
        <f t="shared" si="3"/>
        <v>1119</v>
      </c>
      <c r="C51" s="62" t="str">
        <f t="shared" si="3"/>
        <v>Exhaust Fan (Industrial Type, 1.5'x1.5')</v>
      </c>
      <c r="D51" s="12" t="str">
        <f t="shared" si="3"/>
        <v>Nos.</v>
      </c>
      <c r="E51" s="12">
        <f t="shared" si="3"/>
        <v>2</v>
      </c>
      <c r="F51" s="12">
        <f t="shared" si="3"/>
        <v>2000</v>
      </c>
      <c r="G51" s="12">
        <f t="shared" si="3"/>
        <v>4000</v>
      </c>
    </row>
    <row r="52" spans="1:7" ht="30" customHeight="1" x14ac:dyDescent="0.25">
      <c r="A52" s="10">
        <v>8</v>
      </c>
      <c r="B52" s="10">
        <f t="shared" si="3"/>
        <v>0</v>
      </c>
      <c r="C52" s="62" t="str">
        <f t="shared" si="3"/>
        <v/>
      </c>
      <c r="D52" s="12" t="str">
        <f t="shared" si="3"/>
        <v/>
      </c>
      <c r="E52" s="12">
        <f t="shared" si="3"/>
        <v>0</v>
      </c>
      <c r="F52" s="12" t="str">
        <f t="shared" si="3"/>
        <v/>
      </c>
      <c r="G52" s="12" t="str">
        <f t="shared" si="3"/>
        <v/>
      </c>
    </row>
    <row r="53" spans="1:7" ht="30" customHeight="1" x14ac:dyDescent="0.25">
      <c r="A53" s="10">
        <v>9</v>
      </c>
      <c r="B53" s="10">
        <f t="shared" si="3"/>
        <v>0</v>
      </c>
      <c r="C53" s="62" t="str">
        <f t="shared" si="3"/>
        <v/>
      </c>
      <c r="D53" s="12" t="str">
        <f t="shared" si="3"/>
        <v/>
      </c>
      <c r="E53" s="12">
        <f t="shared" si="3"/>
        <v>0</v>
      </c>
      <c r="F53" s="12" t="str">
        <f t="shared" si="3"/>
        <v/>
      </c>
      <c r="G53" s="12" t="str">
        <f t="shared" si="3"/>
        <v/>
      </c>
    </row>
    <row r="54" spans="1:7" ht="30" customHeight="1" x14ac:dyDescent="0.25">
      <c r="A54" s="10">
        <v>10</v>
      </c>
      <c r="B54" s="10">
        <f t="shared" si="3"/>
        <v>0</v>
      </c>
      <c r="C54" s="62" t="str">
        <f t="shared" si="3"/>
        <v/>
      </c>
      <c r="D54" s="12" t="str">
        <f t="shared" si="3"/>
        <v/>
      </c>
      <c r="E54" s="12">
        <f t="shared" si="3"/>
        <v>0</v>
      </c>
      <c r="F54" s="12" t="str">
        <f t="shared" si="3"/>
        <v/>
      </c>
      <c r="G54" s="12" t="str">
        <f t="shared" si="3"/>
        <v/>
      </c>
    </row>
    <row r="55" spans="1:7" ht="30" customHeight="1" x14ac:dyDescent="0.25">
      <c r="A55" s="10">
        <v>11</v>
      </c>
      <c r="B55" s="10">
        <f t="shared" si="3"/>
        <v>0</v>
      </c>
      <c r="C55" s="62" t="str">
        <f t="shared" si="3"/>
        <v/>
      </c>
      <c r="D55" s="12" t="str">
        <f t="shared" si="3"/>
        <v/>
      </c>
      <c r="E55" s="12">
        <f t="shared" si="3"/>
        <v>0</v>
      </c>
      <c r="F55" s="12" t="str">
        <f t="shared" si="3"/>
        <v/>
      </c>
      <c r="G55" s="12" t="str">
        <f t="shared" si="3"/>
        <v/>
      </c>
    </row>
    <row r="56" spans="1:7" ht="30" customHeight="1" x14ac:dyDescent="0.25">
      <c r="A56" s="10">
        <v>12</v>
      </c>
      <c r="B56" s="10">
        <f t="shared" si="3"/>
        <v>0</v>
      </c>
      <c r="C56" s="62" t="str">
        <f t="shared" si="3"/>
        <v/>
      </c>
      <c r="D56" s="12" t="str">
        <f t="shared" si="3"/>
        <v/>
      </c>
      <c r="E56" s="12">
        <f t="shared" si="3"/>
        <v>0</v>
      </c>
      <c r="F56" s="12" t="str">
        <f t="shared" si="3"/>
        <v/>
      </c>
      <c r="G56" s="12" t="str">
        <f t="shared" si="3"/>
        <v/>
      </c>
    </row>
    <row r="57" spans="1:7" ht="30" customHeight="1" x14ac:dyDescent="0.25">
      <c r="A57" s="10">
        <v>13</v>
      </c>
      <c r="B57" s="10">
        <f t="shared" si="3"/>
        <v>0</v>
      </c>
      <c r="C57" s="62" t="str">
        <f t="shared" si="3"/>
        <v/>
      </c>
      <c r="D57" s="12" t="str">
        <f t="shared" si="3"/>
        <v/>
      </c>
      <c r="E57" s="12">
        <f t="shared" si="3"/>
        <v>0</v>
      </c>
      <c r="F57" s="12" t="str">
        <f t="shared" si="3"/>
        <v/>
      </c>
      <c r="G57" s="12" t="str">
        <f t="shared" si="3"/>
        <v/>
      </c>
    </row>
    <row r="58" spans="1:7" ht="30" customHeight="1" x14ac:dyDescent="0.25">
      <c r="A58" s="10">
        <v>14</v>
      </c>
      <c r="B58" s="10">
        <f t="shared" si="3"/>
        <v>0</v>
      </c>
      <c r="C58" s="62" t="str">
        <f t="shared" si="3"/>
        <v/>
      </c>
      <c r="D58" s="12" t="str">
        <f t="shared" si="3"/>
        <v/>
      </c>
      <c r="E58" s="12">
        <f t="shared" si="3"/>
        <v>0</v>
      </c>
      <c r="F58" s="12" t="str">
        <f t="shared" si="3"/>
        <v/>
      </c>
      <c r="G58" s="12" t="str">
        <f t="shared" si="3"/>
        <v/>
      </c>
    </row>
    <row r="59" spans="1:7" ht="30" customHeight="1" x14ac:dyDescent="0.25">
      <c r="A59" s="10">
        <v>15</v>
      </c>
      <c r="B59" s="10">
        <f t="shared" si="3"/>
        <v>0</v>
      </c>
      <c r="C59" s="62" t="str">
        <f t="shared" si="3"/>
        <v/>
      </c>
      <c r="D59" s="12" t="str">
        <f t="shared" si="3"/>
        <v/>
      </c>
      <c r="E59" s="12">
        <f t="shared" si="3"/>
        <v>0</v>
      </c>
      <c r="F59" s="12" t="str">
        <f t="shared" si="3"/>
        <v/>
      </c>
      <c r="G59" s="12" t="str">
        <f t="shared" si="3"/>
        <v/>
      </c>
    </row>
    <row r="60" spans="1:7" ht="30" customHeight="1" x14ac:dyDescent="0.25">
      <c r="A60" s="10">
        <v>16</v>
      </c>
      <c r="B60" s="10">
        <f t="shared" si="3"/>
        <v>0</v>
      </c>
      <c r="C60" s="62" t="str">
        <f t="shared" si="3"/>
        <v/>
      </c>
      <c r="D60" s="12" t="str">
        <f t="shared" si="3"/>
        <v/>
      </c>
      <c r="E60" s="12">
        <f t="shared" si="3"/>
        <v>0</v>
      </c>
      <c r="F60" s="12" t="str">
        <f t="shared" si="3"/>
        <v/>
      </c>
      <c r="G60" s="12" t="str">
        <f t="shared" si="3"/>
        <v/>
      </c>
    </row>
    <row r="61" spans="1:7" ht="30" customHeight="1" x14ac:dyDescent="0.25">
      <c r="A61" s="10">
        <v>17</v>
      </c>
      <c r="B61" s="10">
        <f t="shared" ref="B61:G65" si="4">B22</f>
        <v>0</v>
      </c>
      <c r="C61" s="62" t="str">
        <f t="shared" si="4"/>
        <v/>
      </c>
      <c r="D61" s="12" t="str">
        <f t="shared" si="4"/>
        <v/>
      </c>
      <c r="E61" s="12">
        <f t="shared" si="4"/>
        <v>0</v>
      </c>
      <c r="F61" s="12" t="str">
        <f t="shared" si="4"/>
        <v/>
      </c>
      <c r="G61" s="12" t="str">
        <f t="shared" si="4"/>
        <v/>
      </c>
    </row>
    <row r="62" spans="1:7" ht="30" customHeight="1" x14ac:dyDescent="0.25">
      <c r="A62" s="10">
        <v>18</v>
      </c>
      <c r="B62" s="10">
        <f t="shared" si="4"/>
        <v>0</v>
      </c>
      <c r="C62" s="62" t="str">
        <f t="shared" si="4"/>
        <v/>
      </c>
      <c r="D62" s="12" t="str">
        <f t="shared" si="4"/>
        <v/>
      </c>
      <c r="E62" s="12">
        <f t="shared" si="4"/>
        <v>0</v>
      </c>
      <c r="F62" s="12" t="str">
        <f t="shared" si="4"/>
        <v/>
      </c>
      <c r="G62" s="12" t="str">
        <f t="shared" si="4"/>
        <v/>
      </c>
    </row>
    <row r="63" spans="1:7" ht="30" customHeight="1" x14ac:dyDescent="0.25">
      <c r="A63" s="10">
        <v>19</v>
      </c>
      <c r="B63" s="10">
        <f t="shared" si="4"/>
        <v>0</v>
      </c>
      <c r="C63" s="62" t="str">
        <f t="shared" si="4"/>
        <v/>
      </c>
      <c r="D63" s="12" t="str">
        <f t="shared" si="4"/>
        <v/>
      </c>
      <c r="E63" s="12">
        <f t="shared" si="4"/>
        <v>0</v>
      </c>
      <c r="F63" s="12" t="str">
        <f t="shared" si="4"/>
        <v/>
      </c>
      <c r="G63" s="12" t="str">
        <f t="shared" si="4"/>
        <v/>
      </c>
    </row>
    <row r="64" spans="1:7" ht="30" customHeight="1" x14ac:dyDescent="0.25">
      <c r="A64" s="10">
        <v>20</v>
      </c>
      <c r="B64" s="10">
        <f t="shared" si="4"/>
        <v>0</v>
      </c>
      <c r="C64" s="62" t="str">
        <f t="shared" si="4"/>
        <v/>
      </c>
      <c r="D64" s="12" t="str">
        <f t="shared" si="4"/>
        <v/>
      </c>
      <c r="E64" s="12">
        <f t="shared" si="4"/>
        <v>0</v>
      </c>
      <c r="F64" s="12" t="str">
        <f t="shared" si="4"/>
        <v/>
      </c>
      <c r="G64" s="12" t="str">
        <f t="shared" si="4"/>
        <v/>
      </c>
    </row>
    <row r="65" spans="1:7" ht="30" customHeight="1" x14ac:dyDescent="0.25">
      <c r="A65" s="76" t="str">
        <f>A26</f>
        <v>TOTAL</v>
      </c>
      <c r="B65" s="77"/>
      <c r="C65" s="77"/>
      <c r="D65" s="78"/>
      <c r="E65" s="12">
        <f>E26</f>
        <v>105</v>
      </c>
      <c r="F65" s="87">
        <f t="shared" si="4"/>
        <v>23700</v>
      </c>
      <c r="G65" s="88"/>
    </row>
    <row r="67" spans="1:7" ht="16.8" x14ac:dyDescent="0.3">
      <c r="A67" s="13"/>
      <c r="B67" s="14"/>
      <c r="C67" s="15"/>
      <c r="D67" s="15"/>
      <c r="E67" s="15"/>
      <c r="F67" s="15"/>
      <c r="G67" s="16"/>
    </row>
    <row r="68" spans="1:7" x14ac:dyDescent="0.25">
      <c r="A68" s="17"/>
      <c r="B68" s="18"/>
      <c r="C68" s="19"/>
      <c r="D68" s="19"/>
      <c r="E68" s="19"/>
      <c r="F68" s="19"/>
      <c r="G68" s="20"/>
    </row>
    <row r="69" spans="1:7" x14ac:dyDescent="0.25">
      <c r="A69" s="21"/>
      <c r="B69" s="22"/>
      <c r="C69" s="19"/>
      <c r="D69" s="19"/>
      <c r="E69" s="19"/>
      <c r="F69" s="19"/>
      <c r="G69" s="20"/>
    </row>
    <row r="70" spans="1:7" x14ac:dyDescent="0.25">
      <c r="A70" s="21"/>
      <c r="B70" s="22"/>
      <c r="C70" s="19"/>
      <c r="D70" s="19"/>
      <c r="E70" s="19"/>
      <c r="F70" s="19"/>
      <c r="G70" s="20"/>
    </row>
    <row r="71" spans="1:7" ht="17.399999999999999" x14ac:dyDescent="0.3">
      <c r="A71" s="79" t="s">
        <v>16</v>
      </c>
      <c r="B71" s="80"/>
      <c r="C71" s="80"/>
      <c r="D71" s="19"/>
      <c r="E71" s="23"/>
      <c r="F71" s="81" t="s">
        <v>17</v>
      </c>
      <c r="G71" s="82"/>
    </row>
    <row r="72" spans="1:7" ht="17.399999999999999" x14ac:dyDescent="0.3">
      <c r="A72" s="83" t="s">
        <v>18</v>
      </c>
      <c r="B72" s="84"/>
      <c r="C72" s="84"/>
      <c r="D72" s="24"/>
      <c r="E72" s="4"/>
      <c r="F72" s="85" t="s">
        <v>19</v>
      </c>
      <c r="G72" s="86"/>
    </row>
    <row r="74" spans="1:7" ht="16.8" x14ac:dyDescent="0.3">
      <c r="A74" s="25" t="s">
        <v>20</v>
      </c>
      <c r="B74" s="26"/>
      <c r="C74" s="15"/>
      <c r="D74" s="15"/>
      <c r="E74" s="15"/>
      <c r="F74" s="15"/>
      <c r="G74" s="16"/>
    </row>
    <row r="75" spans="1:7" ht="16.8" x14ac:dyDescent="0.3">
      <c r="A75" s="27" t="s">
        <v>21</v>
      </c>
      <c r="B75" s="28"/>
      <c r="C75" s="29"/>
      <c r="D75" s="28"/>
      <c r="E75" s="28" t="s">
        <v>22</v>
      </c>
      <c r="F75" s="29"/>
      <c r="G75" s="30"/>
    </row>
    <row r="76" spans="1:7" ht="16.8" x14ac:dyDescent="0.3">
      <c r="A76" s="27" t="s">
        <v>42</v>
      </c>
      <c r="B76" s="28"/>
      <c r="C76" s="29"/>
      <c r="D76" s="28"/>
      <c r="E76" s="28" t="s">
        <v>23</v>
      </c>
      <c r="F76" s="29"/>
      <c r="G76" s="30"/>
    </row>
    <row r="77" spans="1:7" ht="16.8" x14ac:dyDescent="0.3">
      <c r="A77" s="31" t="s">
        <v>24</v>
      </c>
      <c r="B77" s="32"/>
      <c r="C77" s="33"/>
      <c r="D77" s="33"/>
      <c r="E77" s="33"/>
      <c r="F77" s="33"/>
      <c r="G77" s="34"/>
    </row>
    <row r="78" spans="1:7" ht="14.4" customHeight="1" x14ac:dyDescent="0.3">
      <c r="A78" s="35" t="s">
        <v>25</v>
      </c>
      <c r="B78" s="35"/>
      <c r="C78" s="36"/>
      <c r="D78" s="36"/>
      <c r="E78" s="36"/>
      <c r="F78" s="36"/>
      <c r="G78" s="36"/>
    </row>
    <row r="79" spans="1:7" ht="27.6" x14ac:dyDescent="0.45">
      <c r="A79" s="73" t="s">
        <v>221</v>
      </c>
      <c r="B79" s="73"/>
      <c r="C79" s="73"/>
      <c r="D79" s="73"/>
      <c r="E79" s="73"/>
      <c r="F79" s="73"/>
      <c r="G79" s="73"/>
    </row>
    <row r="80" spans="1:7" x14ac:dyDescent="0.25">
      <c r="A80" s="74" t="s">
        <v>0</v>
      </c>
      <c r="B80" s="74"/>
      <c r="C80" s="74"/>
      <c r="D80" s="74"/>
      <c r="E80" s="74"/>
      <c r="F80" s="74"/>
      <c r="G80" s="74"/>
    </row>
    <row r="81" spans="1:7" ht="20.399999999999999" x14ac:dyDescent="0.35">
      <c r="A81" s="75" t="s">
        <v>26</v>
      </c>
      <c r="B81" s="75"/>
      <c r="C81" s="75"/>
      <c r="D81" s="75"/>
      <c r="E81" s="75"/>
      <c r="F81" s="75"/>
      <c r="G81" s="75"/>
    </row>
    <row r="82" spans="1:7" s="5" customFormat="1" ht="17.399999999999999" x14ac:dyDescent="0.3">
      <c r="A82" s="2" t="s">
        <v>2</v>
      </c>
      <c r="B82" s="2"/>
      <c r="C82" s="37">
        <f ca="1">NOW()</f>
        <v>44764.997536226852</v>
      </c>
      <c r="D82" s="4" t="s">
        <v>3</v>
      </c>
      <c r="G82" s="6">
        <f>G4</f>
        <v>1191</v>
      </c>
    </row>
    <row r="83" spans="1:7" s="9" customFormat="1" ht="20.399999999999999" x14ac:dyDescent="0.35">
      <c r="A83" s="7" t="s">
        <v>4</v>
      </c>
      <c r="B83" s="7" t="s">
        <v>5</v>
      </c>
      <c r="C83" s="8" t="s">
        <v>6</v>
      </c>
      <c r="D83" s="8" t="s">
        <v>7</v>
      </c>
      <c r="E83" s="8" t="s">
        <v>8</v>
      </c>
      <c r="F83" s="8" t="s">
        <v>9</v>
      </c>
      <c r="G83" s="8" t="s">
        <v>10</v>
      </c>
    </row>
    <row r="84" spans="1:7" ht="30" customHeight="1" x14ac:dyDescent="0.25">
      <c r="A84" s="10">
        <v>1</v>
      </c>
      <c r="B84" s="10">
        <f>B45</f>
        <v>1101</v>
      </c>
      <c r="C84" s="62" t="str">
        <f>C45</f>
        <v>LED Tube Light -23W - Used</v>
      </c>
      <c r="D84" s="12" t="str">
        <f>D6</f>
        <v>Nos.</v>
      </c>
      <c r="E84" s="12">
        <f>E45</f>
        <v>20</v>
      </c>
      <c r="F84" s="12">
        <f>F45</f>
        <v>125</v>
      </c>
      <c r="G84" s="12">
        <f>G45</f>
        <v>2500</v>
      </c>
    </row>
    <row r="85" spans="1:7" ht="30" customHeight="1" x14ac:dyDescent="0.25">
      <c r="A85" s="10">
        <v>2</v>
      </c>
      <c r="B85" s="10">
        <f t="shared" ref="B85:G100" si="5">B46</f>
        <v>1105</v>
      </c>
      <c r="C85" s="62" t="str">
        <f t="shared" si="5"/>
        <v>LED Bulb-20W - New</v>
      </c>
      <c r="D85" s="12" t="str">
        <f t="shared" ref="D85:D103" si="6">D7</f>
        <v>Nos.</v>
      </c>
      <c r="E85" s="12">
        <f t="shared" ref="E85:G88" si="7">E46</f>
        <v>15</v>
      </c>
      <c r="F85" s="12">
        <f t="shared" si="7"/>
        <v>140</v>
      </c>
      <c r="G85" s="12">
        <f t="shared" si="7"/>
        <v>2100</v>
      </c>
    </row>
    <row r="86" spans="1:7" ht="30" customHeight="1" x14ac:dyDescent="0.25">
      <c r="A86" s="10">
        <v>3</v>
      </c>
      <c r="B86" s="10">
        <f t="shared" si="5"/>
        <v>1108</v>
      </c>
      <c r="C86" s="62" t="str">
        <f t="shared" si="5"/>
        <v>Light Holder - Used</v>
      </c>
      <c r="D86" s="12" t="str">
        <f t="shared" si="6"/>
        <v>Nos.</v>
      </c>
      <c r="E86" s="12">
        <f t="shared" si="7"/>
        <v>60</v>
      </c>
      <c r="F86" s="12">
        <f t="shared" si="7"/>
        <v>5</v>
      </c>
      <c r="G86" s="12">
        <f t="shared" si="7"/>
        <v>300</v>
      </c>
    </row>
    <row r="87" spans="1:7" ht="30" customHeight="1" x14ac:dyDescent="0.25">
      <c r="A87" s="10">
        <v>4</v>
      </c>
      <c r="B87" s="10">
        <f t="shared" si="5"/>
        <v>1109</v>
      </c>
      <c r="C87" s="62" t="str">
        <f t="shared" si="5"/>
        <v>Flood Light (China) - 100W IP - 65/68 - Usesd</v>
      </c>
      <c r="D87" s="12" t="str">
        <f t="shared" si="6"/>
        <v>Nos.</v>
      </c>
      <c r="E87" s="12">
        <f t="shared" si="7"/>
        <v>2</v>
      </c>
      <c r="F87" s="12">
        <f t="shared" si="7"/>
        <v>400</v>
      </c>
      <c r="G87" s="12">
        <f t="shared" si="7"/>
        <v>800</v>
      </c>
    </row>
    <row r="88" spans="1:7" ht="30" customHeight="1" x14ac:dyDescent="0.25">
      <c r="A88" s="10">
        <v>5</v>
      </c>
      <c r="B88" s="10">
        <f t="shared" si="5"/>
        <v>1113</v>
      </c>
      <c r="C88" s="62" t="str">
        <f t="shared" si="5"/>
        <v>Ceiling Fan (BRB Lovely, White Color) - Used</v>
      </c>
      <c r="D88" s="12" t="str">
        <f t="shared" si="6"/>
        <v>Nos.</v>
      </c>
      <c r="E88" s="12">
        <f t="shared" si="7"/>
        <v>4</v>
      </c>
      <c r="F88" s="12">
        <f t="shared" si="7"/>
        <v>1000</v>
      </c>
      <c r="G88" s="12">
        <f t="shared" si="7"/>
        <v>4000</v>
      </c>
    </row>
    <row r="89" spans="1:7" ht="30" customHeight="1" x14ac:dyDescent="0.25">
      <c r="A89" s="10">
        <v>6</v>
      </c>
      <c r="B89" s="10">
        <f t="shared" si="5"/>
        <v>1121</v>
      </c>
      <c r="C89" s="62" t="str">
        <f t="shared" si="5"/>
        <v>DOL Starter (1.1/2 KW) - New</v>
      </c>
      <c r="D89" s="12" t="str">
        <f t="shared" si="6"/>
        <v>Nos.</v>
      </c>
      <c r="E89" s="12">
        <f t="shared" si="5"/>
        <v>2</v>
      </c>
      <c r="F89" s="12">
        <f t="shared" si="5"/>
        <v>5000</v>
      </c>
      <c r="G89" s="12">
        <f t="shared" si="5"/>
        <v>10000</v>
      </c>
    </row>
    <row r="90" spans="1:7" ht="30" customHeight="1" x14ac:dyDescent="0.25">
      <c r="A90" s="10">
        <v>7</v>
      </c>
      <c r="B90" s="10">
        <f t="shared" si="5"/>
        <v>1119</v>
      </c>
      <c r="C90" s="62" t="str">
        <f t="shared" si="5"/>
        <v>Exhaust Fan (Industrial Type, 1.5'x1.5')</v>
      </c>
      <c r="D90" s="12" t="str">
        <f t="shared" si="6"/>
        <v>Nos.</v>
      </c>
      <c r="E90" s="12">
        <f t="shared" si="5"/>
        <v>2</v>
      </c>
      <c r="F90" s="12">
        <f t="shared" si="5"/>
        <v>2000</v>
      </c>
      <c r="G90" s="12">
        <f t="shared" si="5"/>
        <v>4000</v>
      </c>
    </row>
    <row r="91" spans="1:7" ht="30" customHeight="1" x14ac:dyDescent="0.25">
      <c r="A91" s="10">
        <v>8</v>
      </c>
      <c r="B91" s="10">
        <f t="shared" si="5"/>
        <v>0</v>
      </c>
      <c r="C91" s="62" t="str">
        <f t="shared" si="5"/>
        <v/>
      </c>
      <c r="D91" s="12" t="str">
        <f t="shared" si="6"/>
        <v/>
      </c>
      <c r="E91" s="12">
        <f t="shared" si="5"/>
        <v>0</v>
      </c>
      <c r="F91" s="12" t="str">
        <f t="shared" si="5"/>
        <v/>
      </c>
      <c r="G91" s="12" t="str">
        <f t="shared" si="5"/>
        <v/>
      </c>
    </row>
    <row r="92" spans="1:7" ht="30" customHeight="1" x14ac:dyDescent="0.25">
      <c r="A92" s="10">
        <v>9</v>
      </c>
      <c r="B92" s="10">
        <f t="shared" si="5"/>
        <v>0</v>
      </c>
      <c r="C92" s="62" t="str">
        <f t="shared" si="5"/>
        <v/>
      </c>
      <c r="D92" s="12" t="str">
        <f t="shared" si="6"/>
        <v/>
      </c>
      <c r="E92" s="12">
        <f t="shared" si="5"/>
        <v>0</v>
      </c>
      <c r="F92" s="12" t="str">
        <f t="shared" si="5"/>
        <v/>
      </c>
      <c r="G92" s="12" t="str">
        <f t="shared" si="5"/>
        <v/>
      </c>
    </row>
    <row r="93" spans="1:7" ht="30" customHeight="1" x14ac:dyDescent="0.25">
      <c r="A93" s="10">
        <v>10</v>
      </c>
      <c r="B93" s="10">
        <f t="shared" si="5"/>
        <v>0</v>
      </c>
      <c r="C93" s="62" t="str">
        <f t="shared" si="5"/>
        <v/>
      </c>
      <c r="D93" s="12" t="str">
        <f t="shared" si="6"/>
        <v/>
      </c>
      <c r="E93" s="12">
        <f t="shared" si="5"/>
        <v>0</v>
      </c>
      <c r="F93" s="12" t="str">
        <f t="shared" si="5"/>
        <v/>
      </c>
      <c r="G93" s="12" t="str">
        <f t="shared" si="5"/>
        <v/>
      </c>
    </row>
    <row r="94" spans="1:7" ht="30" customHeight="1" x14ac:dyDescent="0.25">
      <c r="A94" s="10">
        <v>11</v>
      </c>
      <c r="B94" s="10">
        <f t="shared" si="5"/>
        <v>0</v>
      </c>
      <c r="C94" s="62" t="str">
        <f t="shared" si="5"/>
        <v/>
      </c>
      <c r="D94" s="12" t="str">
        <f t="shared" si="6"/>
        <v/>
      </c>
      <c r="E94" s="12">
        <f t="shared" si="5"/>
        <v>0</v>
      </c>
      <c r="F94" s="12" t="str">
        <f t="shared" si="5"/>
        <v/>
      </c>
      <c r="G94" s="12" t="str">
        <f t="shared" si="5"/>
        <v/>
      </c>
    </row>
    <row r="95" spans="1:7" ht="30" customHeight="1" x14ac:dyDescent="0.25">
      <c r="A95" s="10">
        <v>12</v>
      </c>
      <c r="B95" s="10">
        <f t="shared" si="5"/>
        <v>0</v>
      </c>
      <c r="C95" s="62" t="str">
        <f t="shared" si="5"/>
        <v/>
      </c>
      <c r="D95" s="12" t="str">
        <f t="shared" si="6"/>
        <v/>
      </c>
      <c r="E95" s="12">
        <f t="shared" si="5"/>
        <v>0</v>
      </c>
      <c r="F95" s="12" t="str">
        <f t="shared" si="5"/>
        <v/>
      </c>
      <c r="G95" s="12" t="str">
        <f t="shared" si="5"/>
        <v/>
      </c>
    </row>
    <row r="96" spans="1:7" ht="30" customHeight="1" x14ac:dyDescent="0.25">
      <c r="A96" s="10">
        <v>13</v>
      </c>
      <c r="B96" s="10">
        <f t="shared" si="5"/>
        <v>0</v>
      </c>
      <c r="C96" s="62" t="str">
        <f t="shared" si="5"/>
        <v/>
      </c>
      <c r="D96" s="12" t="str">
        <f t="shared" si="6"/>
        <v/>
      </c>
      <c r="E96" s="12">
        <f t="shared" si="5"/>
        <v>0</v>
      </c>
      <c r="F96" s="12" t="str">
        <f t="shared" si="5"/>
        <v/>
      </c>
      <c r="G96" s="12" t="str">
        <f t="shared" si="5"/>
        <v/>
      </c>
    </row>
    <row r="97" spans="1:7" ht="30" customHeight="1" x14ac:dyDescent="0.25">
      <c r="A97" s="10">
        <v>14</v>
      </c>
      <c r="B97" s="10">
        <f t="shared" si="5"/>
        <v>0</v>
      </c>
      <c r="C97" s="62" t="str">
        <f t="shared" si="5"/>
        <v/>
      </c>
      <c r="D97" s="12" t="str">
        <f t="shared" si="6"/>
        <v/>
      </c>
      <c r="E97" s="12">
        <f t="shared" si="5"/>
        <v>0</v>
      </c>
      <c r="F97" s="12" t="str">
        <f t="shared" si="5"/>
        <v/>
      </c>
      <c r="G97" s="12" t="str">
        <f t="shared" si="5"/>
        <v/>
      </c>
    </row>
    <row r="98" spans="1:7" ht="30" customHeight="1" x14ac:dyDescent="0.25">
      <c r="A98" s="10">
        <v>15</v>
      </c>
      <c r="B98" s="10">
        <f t="shared" si="5"/>
        <v>0</v>
      </c>
      <c r="C98" s="62" t="str">
        <f t="shared" si="5"/>
        <v/>
      </c>
      <c r="D98" s="12" t="str">
        <f t="shared" si="6"/>
        <v/>
      </c>
      <c r="E98" s="12">
        <f t="shared" si="5"/>
        <v>0</v>
      </c>
      <c r="F98" s="12" t="str">
        <f t="shared" si="5"/>
        <v/>
      </c>
      <c r="G98" s="12" t="str">
        <f t="shared" si="5"/>
        <v/>
      </c>
    </row>
    <row r="99" spans="1:7" ht="30" customHeight="1" x14ac:dyDescent="0.25">
      <c r="A99" s="10">
        <v>16</v>
      </c>
      <c r="B99" s="10">
        <f t="shared" si="5"/>
        <v>0</v>
      </c>
      <c r="C99" s="62" t="str">
        <f t="shared" si="5"/>
        <v/>
      </c>
      <c r="D99" s="12" t="str">
        <f t="shared" si="6"/>
        <v/>
      </c>
      <c r="E99" s="12">
        <f t="shared" si="5"/>
        <v>0</v>
      </c>
      <c r="F99" s="12" t="str">
        <f t="shared" si="5"/>
        <v/>
      </c>
      <c r="G99" s="12" t="str">
        <f t="shared" si="5"/>
        <v/>
      </c>
    </row>
    <row r="100" spans="1:7" ht="30" customHeight="1" x14ac:dyDescent="0.25">
      <c r="A100" s="10">
        <v>17</v>
      </c>
      <c r="B100" s="10">
        <f t="shared" si="5"/>
        <v>0</v>
      </c>
      <c r="C100" s="62" t="str">
        <f t="shared" si="5"/>
        <v/>
      </c>
      <c r="D100" s="12" t="str">
        <f t="shared" si="6"/>
        <v/>
      </c>
      <c r="E100" s="12">
        <f t="shared" si="5"/>
        <v>0</v>
      </c>
      <c r="F100" s="12" t="str">
        <f t="shared" si="5"/>
        <v/>
      </c>
      <c r="G100" s="12" t="str">
        <f t="shared" si="5"/>
        <v/>
      </c>
    </row>
    <row r="101" spans="1:7" ht="30" customHeight="1" x14ac:dyDescent="0.25">
      <c r="A101" s="10">
        <v>18</v>
      </c>
      <c r="B101" s="10">
        <f t="shared" ref="B101:G104" si="8">B62</f>
        <v>0</v>
      </c>
      <c r="C101" s="62" t="str">
        <f t="shared" si="8"/>
        <v/>
      </c>
      <c r="D101" s="12" t="str">
        <f t="shared" si="6"/>
        <v/>
      </c>
      <c r="E101" s="12">
        <f t="shared" si="8"/>
        <v>0</v>
      </c>
      <c r="F101" s="12" t="str">
        <f t="shared" si="8"/>
        <v/>
      </c>
      <c r="G101" s="12" t="str">
        <f t="shared" si="8"/>
        <v/>
      </c>
    </row>
    <row r="102" spans="1:7" ht="30" customHeight="1" x14ac:dyDescent="0.25">
      <c r="A102" s="10">
        <v>19</v>
      </c>
      <c r="B102" s="10">
        <f t="shared" si="8"/>
        <v>0</v>
      </c>
      <c r="C102" s="62" t="str">
        <f t="shared" si="8"/>
        <v/>
      </c>
      <c r="D102" s="12" t="str">
        <f t="shared" si="6"/>
        <v/>
      </c>
      <c r="E102" s="12">
        <f t="shared" si="8"/>
        <v>0</v>
      </c>
      <c r="F102" s="12" t="str">
        <f t="shared" si="8"/>
        <v/>
      </c>
      <c r="G102" s="12" t="str">
        <f t="shared" si="8"/>
        <v/>
      </c>
    </row>
    <row r="103" spans="1:7" ht="30" customHeight="1" x14ac:dyDescent="0.25">
      <c r="A103" s="10">
        <v>20</v>
      </c>
      <c r="B103" s="10">
        <f t="shared" si="8"/>
        <v>0</v>
      </c>
      <c r="C103" s="62" t="str">
        <f t="shared" si="8"/>
        <v/>
      </c>
      <c r="D103" s="12" t="str">
        <f t="shared" si="6"/>
        <v/>
      </c>
      <c r="E103" s="12">
        <f t="shared" si="8"/>
        <v>0</v>
      </c>
      <c r="F103" s="12" t="str">
        <f t="shared" si="8"/>
        <v/>
      </c>
      <c r="G103" s="12" t="str">
        <f t="shared" si="8"/>
        <v/>
      </c>
    </row>
    <row r="104" spans="1:7" ht="30" customHeight="1" x14ac:dyDescent="0.25">
      <c r="A104" s="76" t="str">
        <f>A65</f>
        <v>TOTAL</v>
      </c>
      <c r="B104" s="77"/>
      <c r="C104" s="77"/>
      <c r="D104" s="78"/>
      <c r="E104" s="12">
        <f>E26</f>
        <v>105</v>
      </c>
      <c r="F104" s="87">
        <f t="shared" si="8"/>
        <v>23700</v>
      </c>
      <c r="G104" s="88"/>
    </row>
    <row r="106" spans="1:7" ht="16.8" x14ac:dyDescent="0.3">
      <c r="A106" s="13"/>
      <c r="B106" s="14"/>
      <c r="C106" s="15"/>
      <c r="D106" s="15"/>
      <c r="E106" s="15"/>
      <c r="F106" s="15"/>
      <c r="G106" s="16"/>
    </row>
    <row r="107" spans="1:7" x14ac:dyDescent="0.25">
      <c r="A107" s="17"/>
      <c r="B107" s="18"/>
      <c r="C107" s="19"/>
      <c r="D107" s="19"/>
      <c r="E107" s="19"/>
      <c r="F107" s="19"/>
      <c r="G107" s="20"/>
    </row>
    <row r="108" spans="1:7" x14ac:dyDescent="0.25">
      <c r="A108" s="21"/>
      <c r="B108" s="22"/>
      <c r="C108" s="19"/>
      <c r="D108" s="19"/>
      <c r="E108" s="19"/>
      <c r="F108" s="19"/>
      <c r="G108" s="20"/>
    </row>
    <row r="109" spans="1:7" x14ac:dyDescent="0.25">
      <c r="A109" s="21"/>
      <c r="B109" s="22"/>
      <c r="C109" s="19"/>
      <c r="D109" s="19"/>
      <c r="E109" s="19"/>
      <c r="F109" s="19"/>
      <c r="G109" s="20"/>
    </row>
    <row r="110" spans="1:7" ht="17.399999999999999" x14ac:dyDescent="0.3">
      <c r="A110" s="79" t="s">
        <v>16</v>
      </c>
      <c r="B110" s="80"/>
      <c r="C110" s="80"/>
      <c r="D110" s="19"/>
      <c r="E110" s="23"/>
      <c r="F110" s="81" t="s">
        <v>17</v>
      </c>
      <c r="G110" s="82"/>
    </row>
    <row r="111" spans="1:7" ht="17.399999999999999" x14ac:dyDescent="0.3">
      <c r="A111" s="83" t="s">
        <v>27</v>
      </c>
      <c r="B111" s="84"/>
      <c r="C111" s="84"/>
      <c r="D111" s="24"/>
      <c r="E111" s="4"/>
      <c r="F111" s="85" t="s">
        <v>19</v>
      </c>
      <c r="G111" s="86"/>
    </row>
    <row r="113" spans="1:11" ht="16.8" x14ac:dyDescent="0.3">
      <c r="A113" s="25" t="s">
        <v>28</v>
      </c>
      <c r="B113" s="26"/>
      <c r="C113" s="15"/>
      <c r="D113" s="15"/>
      <c r="E113" s="15"/>
      <c r="F113" s="15"/>
      <c r="G113" s="16"/>
    </row>
    <row r="114" spans="1:11" ht="16.8" x14ac:dyDescent="0.25">
      <c r="A114" s="70" t="s">
        <v>29</v>
      </c>
      <c r="B114" s="71"/>
      <c r="C114" s="71"/>
      <c r="D114" s="71"/>
      <c r="E114" s="71"/>
      <c r="F114" s="71"/>
      <c r="G114" s="72"/>
      <c r="K114" s="66"/>
    </row>
    <row r="115" spans="1:11" ht="16.8" x14ac:dyDescent="0.3">
      <c r="A115" s="27" t="s">
        <v>30</v>
      </c>
      <c r="B115" s="28"/>
      <c r="C115" s="29"/>
      <c r="D115" s="28"/>
      <c r="E115" s="29"/>
      <c r="F115" s="29"/>
      <c r="G115" s="30"/>
      <c r="K115" s="66"/>
    </row>
    <row r="116" spans="1:11" ht="16.8" x14ac:dyDescent="0.25">
      <c r="A116" s="67" t="s">
        <v>31</v>
      </c>
      <c r="B116" s="68"/>
      <c r="C116" s="68"/>
      <c r="D116" s="68"/>
      <c r="E116" s="68"/>
      <c r="F116" s="68"/>
      <c r="G116" s="69"/>
    </row>
    <row r="117" spans="1:11" ht="14.4" customHeight="1" x14ac:dyDescent="0.3">
      <c r="A117" s="35" t="s">
        <v>32</v>
      </c>
      <c r="B117" s="35"/>
      <c r="C117" s="36"/>
      <c r="D117" s="36"/>
      <c r="E117" s="36"/>
      <c r="F117" s="36"/>
      <c r="G117" s="38"/>
    </row>
    <row r="118" spans="1:11" ht="27.6" x14ac:dyDescent="0.45">
      <c r="A118" s="73" t="s">
        <v>221</v>
      </c>
      <c r="B118" s="73"/>
      <c r="C118" s="73"/>
      <c r="D118" s="73"/>
      <c r="E118" s="73"/>
      <c r="F118" s="73"/>
      <c r="G118" s="73"/>
    </row>
    <row r="119" spans="1:11" x14ac:dyDescent="0.25">
      <c r="A119" s="74" t="s">
        <v>0</v>
      </c>
      <c r="B119" s="74"/>
      <c r="C119" s="74"/>
      <c r="D119" s="74"/>
      <c r="E119" s="74"/>
      <c r="F119" s="74"/>
      <c r="G119" s="74"/>
    </row>
    <row r="120" spans="1:11" ht="20.399999999999999" x14ac:dyDescent="0.35">
      <c r="A120" s="75" t="s">
        <v>26</v>
      </c>
      <c r="B120" s="75"/>
      <c r="C120" s="75"/>
      <c r="D120" s="75"/>
      <c r="E120" s="75"/>
      <c r="F120" s="75"/>
      <c r="G120" s="75"/>
    </row>
    <row r="121" spans="1:11" s="5" customFormat="1" ht="17.399999999999999" x14ac:dyDescent="0.3">
      <c r="A121" s="2" t="s">
        <v>2</v>
      </c>
      <c r="B121" s="2"/>
      <c r="C121" s="37">
        <f ca="1">NOW()</f>
        <v>44764.997536226852</v>
      </c>
      <c r="D121" s="4" t="s">
        <v>3</v>
      </c>
      <c r="G121" s="6">
        <f>G82</f>
        <v>1191</v>
      </c>
    </row>
    <row r="122" spans="1:11" s="9" customFormat="1" ht="20.399999999999999" x14ac:dyDescent="0.35">
      <c r="A122" s="7" t="s">
        <v>4</v>
      </c>
      <c r="B122" s="7" t="s">
        <v>5</v>
      </c>
      <c r="C122" s="8" t="s">
        <v>6</v>
      </c>
      <c r="D122" s="8" t="s">
        <v>7</v>
      </c>
      <c r="E122" s="8" t="s">
        <v>8</v>
      </c>
      <c r="F122" s="8" t="s">
        <v>9</v>
      </c>
      <c r="G122" s="8" t="s">
        <v>10</v>
      </c>
    </row>
    <row r="123" spans="1:11" ht="30" customHeight="1" x14ac:dyDescent="0.25">
      <c r="A123" s="10">
        <v>1</v>
      </c>
      <c r="B123" s="10">
        <f>B84</f>
        <v>1101</v>
      </c>
      <c r="C123" s="62" t="str">
        <f>C84</f>
        <v>LED Tube Light -23W - Used</v>
      </c>
      <c r="D123" s="12" t="str">
        <f>D6</f>
        <v>Nos.</v>
      </c>
      <c r="E123" s="12">
        <f>E84</f>
        <v>20</v>
      </c>
      <c r="F123" s="12">
        <f>F84</f>
        <v>125</v>
      </c>
      <c r="G123" s="12">
        <f>G84</f>
        <v>2500</v>
      </c>
    </row>
    <row r="124" spans="1:11" ht="30" customHeight="1" x14ac:dyDescent="0.25">
      <c r="A124" s="10">
        <v>2</v>
      </c>
      <c r="B124" s="10">
        <f t="shared" ref="B124:G139" si="9">B85</f>
        <v>1105</v>
      </c>
      <c r="C124" s="62" t="str">
        <f t="shared" si="9"/>
        <v>LED Bulb-20W - New</v>
      </c>
      <c r="D124" s="12" t="str">
        <f t="shared" ref="D124:D142" si="10">D7</f>
        <v>Nos.</v>
      </c>
      <c r="E124" s="12">
        <f t="shared" ref="E124:G127" si="11">E85</f>
        <v>15</v>
      </c>
      <c r="F124" s="12">
        <f t="shared" si="11"/>
        <v>140</v>
      </c>
      <c r="G124" s="12">
        <f t="shared" si="11"/>
        <v>2100</v>
      </c>
    </row>
    <row r="125" spans="1:11" ht="30" customHeight="1" x14ac:dyDescent="0.25">
      <c r="A125" s="10">
        <v>3</v>
      </c>
      <c r="B125" s="10">
        <f t="shared" si="9"/>
        <v>1108</v>
      </c>
      <c r="C125" s="62" t="str">
        <f t="shared" si="9"/>
        <v>Light Holder - Used</v>
      </c>
      <c r="D125" s="12" t="str">
        <f t="shared" si="10"/>
        <v>Nos.</v>
      </c>
      <c r="E125" s="12">
        <f t="shared" si="11"/>
        <v>60</v>
      </c>
      <c r="F125" s="12">
        <f t="shared" si="11"/>
        <v>5</v>
      </c>
      <c r="G125" s="12">
        <f t="shared" si="11"/>
        <v>300</v>
      </c>
    </row>
    <row r="126" spans="1:11" ht="30" customHeight="1" x14ac:dyDescent="0.25">
      <c r="A126" s="10">
        <v>4</v>
      </c>
      <c r="B126" s="10">
        <f t="shared" si="9"/>
        <v>1109</v>
      </c>
      <c r="C126" s="62" t="str">
        <f t="shared" si="9"/>
        <v>Flood Light (China) - 100W IP - 65/68 - Usesd</v>
      </c>
      <c r="D126" s="12" t="str">
        <f t="shared" si="10"/>
        <v>Nos.</v>
      </c>
      <c r="E126" s="12">
        <f t="shared" si="11"/>
        <v>2</v>
      </c>
      <c r="F126" s="12">
        <f t="shared" si="11"/>
        <v>400</v>
      </c>
      <c r="G126" s="12">
        <f t="shared" si="11"/>
        <v>800</v>
      </c>
    </row>
    <row r="127" spans="1:11" ht="30" customHeight="1" x14ac:dyDescent="0.25">
      <c r="A127" s="10">
        <v>5</v>
      </c>
      <c r="B127" s="10">
        <f t="shared" si="9"/>
        <v>1113</v>
      </c>
      <c r="C127" s="62" t="str">
        <f t="shared" si="9"/>
        <v>Ceiling Fan (BRB Lovely, White Color) - Used</v>
      </c>
      <c r="D127" s="12" t="str">
        <f t="shared" si="10"/>
        <v>Nos.</v>
      </c>
      <c r="E127" s="12">
        <f t="shared" si="11"/>
        <v>4</v>
      </c>
      <c r="F127" s="12">
        <f t="shared" si="11"/>
        <v>1000</v>
      </c>
      <c r="G127" s="12">
        <f t="shared" si="11"/>
        <v>4000</v>
      </c>
    </row>
    <row r="128" spans="1:11" ht="30" customHeight="1" x14ac:dyDescent="0.25">
      <c r="A128" s="10">
        <v>6</v>
      </c>
      <c r="B128" s="10">
        <f t="shared" si="9"/>
        <v>1121</v>
      </c>
      <c r="C128" s="62" t="str">
        <f t="shared" si="9"/>
        <v>DOL Starter (1.1/2 KW) - New</v>
      </c>
      <c r="D128" s="12" t="str">
        <f t="shared" si="10"/>
        <v>Nos.</v>
      </c>
      <c r="E128" s="12">
        <f t="shared" si="9"/>
        <v>2</v>
      </c>
      <c r="F128" s="12">
        <f t="shared" si="9"/>
        <v>5000</v>
      </c>
      <c r="G128" s="12">
        <f t="shared" si="9"/>
        <v>10000</v>
      </c>
    </row>
    <row r="129" spans="1:7" ht="30" customHeight="1" x14ac:dyDescent="0.25">
      <c r="A129" s="10">
        <v>7</v>
      </c>
      <c r="B129" s="10">
        <f t="shared" si="9"/>
        <v>1119</v>
      </c>
      <c r="C129" s="62" t="str">
        <f t="shared" si="9"/>
        <v>Exhaust Fan (Industrial Type, 1.5'x1.5')</v>
      </c>
      <c r="D129" s="12" t="str">
        <f t="shared" si="10"/>
        <v>Nos.</v>
      </c>
      <c r="E129" s="12">
        <f t="shared" si="9"/>
        <v>2</v>
      </c>
      <c r="F129" s="12">
        <f t="shared" si="9"/>
        <v>2000</v>
      </c>
      <c r="G129" s="12">
        <f t="shared" si="9"/>
        <v>4000</v>
      </c>
    </row>
    <row r="130" spans="1:7" ht="30" customHeight="1" x14ac:dyDescent="0.25">
      <c r="A130" s="10">
        <v>8</v>
      </c>
      <c r="B130" s="10">
        <f t="shared" si="9"/>
        <v>0</v>
      </c>
      <c r="C130" s="62" t="str">
        <f t="shared" si="9"/>
        <v/>
      </c>
      <c r="D130" s="12" t="str">
        <f t="shared" si="10"/>
        <v/>
      </c>
      <c r="E130" s="12">
        <f t="shared" si="9"/>
        <v>0</v>
      </c>
      <c r="F130" s="12" t="str">
        <f t="shared" si="9"/>
        <v/>
      </c>
      <c r="G130" s="12" t="str">
        <f t="shared" si="9"/>
        <v/>
      </c>
    </row>
    <row r="131" spans="1:7" ht="30" customHeight="1" x14ac:dyDescent="0.25">
      <c r="A131" s="10">
        <v>9</v>
      </c>
      <c r="B131" s="10">
        <f t="shared" si="9"/>
        <v>0</v>
      </c>
      <c r="C131" s="62" t="str">
        <f t="shared" si="9"/>
        <v/>
      </c>
      <c r="D131" s="12" t="str">
        <f t="shared" si="10"/>
        <v/>
      </c>
      <c r="E131" s="12">
        <f t="shared" si="9"/>
        <v>0</v>
      </c>
      <c r="F131" s="12" t="str">
        <f t="shared" si="9"/>
        <v/>
      </c>
      <c r="G131" s="12" t="str">
        <f t="shared" si="9"/>
        <v/>
      </c>
    </row>
    <row r="132" spans="1:7" ht="30" customHeight="1" x14ac:dyDescent="0.25">
      <c r="A132" s="10">
        <v>10</v>
      </c>
      <c r="B132" s="10">
        <f t="shared" si="9"/>
        <v>0</v>
      </c>
      <c r="C132" s="62" t="str">
        <f t="shared" si="9"/>
        <v/>
      </c>
      <c r="D132" s="12" t="str">
        <f t="shared" si="10"/>
        <v/>
      </c>
      <c r="E132" s="12">
        <f t="shared" si="9"/>
        <v>0</v>
      </c>
      <c r="F132" s="12" t="str">
        <f t="shared" si="9"/>
        <v/>
      </c>
      <c r="G132" s="12" t="str">
        <f t="shared" si="9"/>
        <v/>
      </c>
    </row>
    <row r="133" spans="1:7" ht="30" customHeight="1" x14ac:dyDescent="0.25">
      <c r="A133" s="10">
        <v>11</v>
      </c>
      <c r="B133" s="10">
        <f t="shared" si="9"/>
        <v>0</v>
      </c>
      <c r="C133" s="62" t="str">
        <f t="shared" si="9"/>
        <v/>
      </c>
      <c r="D133" s="12" t="str">
        <f t="shared" si="10"/>
        <v/>
      </c>
      <c r="E133" s="12">
        <f t="shared" si="9"/>
        <v>0</v>
      </c>
      <c r="F133" s="12" t="str">
        <f t="shared" si="9"/>
        <v/>
      </c>
      <c r="G133" s="12" t="str">
        <f t="shared" si="9"/>
        <v/>
      </c>
    </row>
    <row r="134" spans="1:7" ht="30" customHeight="1" x14ac:dyDescent="0.25">
      <c r="A134" s="10">
        <v>12</v>
      </c>
      <c r="B134" s="10">
        <f t="shared" si="9"/>
        <v>0</v>
      </c>
      <c r="C134" s="62" t="str">
        <f t="shared" si="9"/>
        <v/>
      </c>
      <c r="D134" s="12" t="str">
        <f t="shared" si="10"/>
        <v/>
      </c>
      <c r="E134" s="12">
        <f t="shared" si="9"/>
        <v>0</v>
      </c>
      <c r="F134" s="12" t="str">
        <f t="shared" si="9"/>
        <v/>
      </c>
      <c r="G134" s="12" t="str">
        <f t="shared" si="9"/>
        <v/>
      </c>
    </row>
    <row r="135" spans="1:7" ht="30" customHeight="1" x14ac:dyDescent="0.25">
      <c r="A135" s="10">
        <v>13</v>
      </c>
      <c r="B135" s="10">
        <f t="shared" si="9"/>
        <v>0</v>
      </c>
      <c r="C135" s="62" t="str">
        <f t="shared" si="9"/>
        <v/>
      </c>
      <c r="D135" s="12" t="str">
        <f t="shared" si="10"/>
        <v/>
      </c>
      <c r="E135" s="12">
        <f t="shared" si="9"/>
        <v>0</v>
      </c>
      <c r="F135" s="12" t="str">
        <f t="shared" si="9"/>
        <v/>
      </c>
      <c r="G135" s="12" t="str">
        <f t="shared" si="9"/>
        <v/>
      </c>
    </row>
    <row r="136" spans="1:7" ht="30" customHeight="1" x14ac:dyDescent="0.25">
      <c r="A136" s="10">
        <v>14</v>
      </c>
      <c r="B136" s="10">
        <f t="shared" si="9"/>
        <v>0</v>
      </c>
      <c r="C136" s="62" t="str">
        <f t="shared" si="9"/>
        <v/>
      </c>
      <c r="D136" s="12" t="str">
        <f t="shared" si="10"/>
        <v/>
      </c>
      <c r="E136" s="12">
        <f t="shared" si="9"/>
        <v>0</v>
      </c>
      <c r="F136" s="12" t="str">
        <f t="shared" si="9"/>
        <v/>
      </c>
      <c r="G136" s="12" t="str">
        <f t="shared" si="9"/>
        <v/>
      </c>
    </row>
    <row r="137" spans="1:7" ht="30" customHeight="1" x14ac:dyDescent="0.25">
      <c r="A137" s="10">
        <v>15</v>
      </c>
      <c r="B137" s="10">
        <f t="shared" si="9"/>
        <v>0</v>
      </c>
      <c r="C137" s="62" t="str">
        <f t="shared" si="9"/>
        <v/>
      </c>
      <c r="D137" s="12" t="str">
        <f t="shared" si="10"/>
        <v/>
      </c>
      <c r="E137" s="12">
        <f t="shared" si="9"/>
        <v>0</v>
      </c>
      <c r="F137" s="12" t="str">
        <f t="shared" si="9"/>
        <v/>
      </c>
      <c r="G137" s="12" t="str">
        <f t="shared" si="9"/>
        <v/>
      </c>
    </row>
    <row r="138" spans="1:7" ht="30" customHeight="1" x14ac:dyDescent="0.25">
      <c r="A138" s="10">
        <v>16</v>
      </c>
      <c r="B138" s="10">
        <f t="shared" si="9"/>
        <v>0</v>
      </c>
      <c r="C138" s="62" t="str">
        <f t="shared" si="9"/>
        <v/>
      </c>
      <c r="D138" s="12" t="str">
        <f t="shared" si="10"/>
        <v/>
      </c>
      <c r="E138" s="12">
        <f t="shared" si="9"/>
        <v>0</v>
      </c>
      <c r="F138" s="12" t="str">
        <f t="shared" si="9"/>
        <v/>
      </c>
      <c r="G138" s="12" t="str">
        <f t="shared" si="9"/>
        <v/>
      </c>
    </row>
    <row r="139" spans="1:7" ht="30" customHeight="1" x14ac:dyDescent="0.25">
      <c r="A139" s="10">
        <v>17</v>
      </c>
      <c r="B139" s="10">
        <f t="shared" si="9"/>
        <v>0</v>
      </c>
      <c r="C139" s="62" t="str">
        <f t="shared" si="9"/>
        <v/>
      </c>
      <c r="D139" s="12" t="str">
        <f t="shared" si="10"/>
        <v/>
      </c>
      <c r="E139" s="12">
        <f t="shared" si="9"/>
        <v>0</v>
      </c>
      <c r="F139" s="12" t="str">
        <f t="shared" si="9"/>
        <v/>
      </c>
      <c r="G139" s="12" t="str">
        <f t="shared" si="9"/>
        <v/>
      </c>
    </row>
    <row r="140" spans="1:7" ht="30" customHeight="1" x14ac:dyDescent="0.25">
      <c r="A140" s="10">
        <v>18</v>
      </c>
      <c r="B140" s="10">
        <f t="shared" ref="B140:G143" si="12">B101</f>
        <v>0</v>
      </c>
      <c r="C140" s="62" t="str">
        <f t="shared" si="12"/>
        <v/>
      </c>
      <c r="D140" s="12" t="str">
        <f t="shared" si="10"/>
        <v/>
      </c>
      <c r="E140" s="12">
        <f t="shared" si="12"/>
        <v>0</v>
      </c>
      <c r="F140" s="12" t="str">
        <f t="shared" si="12"/>
        <v/>
      </c>
      <c r="G140" s="12" t="str">
        <f t="shared" si="12"/>
        <v/>
      </c>
    </row>
    <row r="141" spans="1:7" ht="30" customHeight="1" x14ac:dyDescent="0.25">
      <c r="A141" s="10">
        <v>19</v>
      </c>
      <c r="B141" s="10">
        <f t="shared" si="12"/>
        <v>0</v>
      </c>
      <c r="C141" s="62" t="str">
        <f t="shared" si="12"/>
        <v/>
      </c>
      <c r="D141" s="12" t="str">
        <f t="shared" si="10"/>
        <v/>
      </c>
      <c r="E141" s="12">
        <f t="shared" si="12"/>
        <v>0</v>
      </c>
      <c r="F141" s="12" t="str">
        <f t="shared" si="12"/>
        <v/>
      </c>
      <c r="G141" s="12" t="str">
        <f t="shared" si="12"/>
        <v/>
      </c>
    </row>
    <row r="142" spans="1:7" ht="30" customHeight="1" x14ac:dyDescent="0.25">
      <c r="A142" s="10">
        <v>20</v>
      </c>
      <c r="B142" s="10">
        <f t="shared" si="12"/>
        <v>0</v>
      </c>
      <c r="C142" s="62" t="str">
        <f t="shared" si="12"/>
        <v/>
      </c>
      <c r="D142" s="12" t="str">
        <f t="shared" si="10"/>
        <v/>
      </c>
      <c r="E142" s="12">
        <f t="shared" si="12"/>
        <v>0</v>
      </c>
      <c r="F142" s="12" t="str">
        <f t="shared" si="12"/>
        <v/>
      </c>
      <c r="G142" s="12" t="str">
        <f t="shared" si="12"/>
        <v/>
      </c>
    </row>
    <row r="143" spans="1:7" ht="30" customHeight="1" x14ac:dyDescent="0.25">
      <c r="A143" s="76" t="str">
        <f>A104</f>
        <v>TOTAL</v>
      </c>
      <c r="B143" s="77"/>
      <c r="C143" s="77"/>
      <c r="D143" s="78"/>
      <c r="E143" s="12">
        <f>E26</f>
        <v>105</v>
      </c>
      <c r="F143" s="87">
        <f t="shared" si="12"/>
        <v>23700</v>
      </c>
      <c r="G143" s="88"/>
    </row>
    <row r="145" spans="1:7" ht="16.8" x14ac:dyDescent="0.3">
      <c r="A145" s="13"/>
      <c r="B145" s="14"/>
      <c r="C145" s="15"/>
      <c r="D145" s="15"/>
      <c r="E145" s="15"/>
      <c r="F145" s="15"/>
      <c r="G145" s="16"/>
    </row>
    <row r="146" spans="1:7" x14ac:dyDescent="0.25">
      <c r="A146" s="17"/>
      <c r="B146" s="18"/>
      <c r="C146" s="19"/>
      <c r="D146" s="19"/>
      <c r="E146" s="19"/>
      <c r="F146" s="19"/>
      <c r="G146" s="20"/>
    </row>
    <row r="147" spans="1:7" x14ac:dyDescent="0.25">
      <c r="A147" s="21"/>
      <c r="B147" s="22"/>
      <c r="C147" s="19"/>
      <c r="D147" s="19"/>
      <c r="E147" s="19"/>
      <c r="F147" s="19"/>
      <c r="G147" s="20"/>
    </row>
    <row r="148" spans="1:7" x14ac:dyDescent="0.25">
      <c r="A148" s="21"/>
      <c r="B148" s="22"/>
      <c r="C148" s="19"/>
      <c r="D148" s="19"/>
      <c r="E148" s="19"/>
      <c r="F148" s="19"/>
      <c r="G148" s="20"/>
    </row>
    <row r="149" spans="1:7" ht="17.399999999999999" x14ac:dyDescent="0.3">
      <c r="A149" s="79" t="s">
        <v>16</v>
      </c>
      <c r="B149" s="80"/>
      <c r="C149" s="80"/>
      <c r="D149" s="19"/>
      <c r="E149" s="23"/>
      <c r="F149" s="81" t="s">
        <v>17</v>
      </c>
      <c r="G149" s="82"/>
    </row>
    <row r="150" spans="1:7" ht="17.399999999999999" x14ac:dyDescent="0.3">
      <c r="A150" s="83" t="s">
        <v>27</v>
      </c>
      <c r="B150" s="84"/>
      <c r="C150" s="84"/>
      <c r="D150" s="24"/>
      <c r="E150" s="4"/>
      <c r="F150" s="85" t="s">
        <v>19</v>
      </c>
      <c r="G150" s="86"/>
    </row>
    <row r="152" spans="1:7" ht="16.8" x14ac:dyDescent="0.3">
      <c r="A152" s="25" t="s">
        <v>28</v>
      </c>
      <c r="B152" s="26"/>
      <c r="C152" s="15"/>
      <c r="D152" s="15"/>
      <c r="E152" s="15"/>
      <c r="F152" s="15"/>
      <c r="G152" s="16"/>
    </row>
    <row r="153" spans="1:7" ht="16.8" x14ac:dyDescent="0.25">
      <c r="A153" s="70" t="s">
        <v>29</v>
      </c>
      <c r="B153" s="71"/>
      <c r="C153" s="71"/>
      <c r="D153" s="71"/>
      <c r="E153" s="71"/>
      <c r="F153" s="71"/>
      <c r="G153" s="72"/>
    </row>
    <row r="154" spans="1:7" ht="16.8" x14ac:dyDescent="0.3">
      <c r="A154" s="27" t="s">
        <v>30</v>
      </c>
      <c r="B154" s="28"/>
      <c r="C154" s="29"/>
      <c r="D154" s="28"/>
      <c r="E154" s="29"/>
      <c r="F154" s="29"/>
      <c r="G154" s="30"/>
    </row>
    <row r="155" spans="1:7" ht="16.8" x14ac:dyDescent="0.25">
      <c r="A155" s="67" t="s">
        <v>31</v>
      </c>
      <c r="B155" s="68"/>
      <c r="C155" s="68"/>
      <c r="D155" s="68"/>
      <c r="E155" s="68"/>
      <c r="F155" s="68"/>
      <c r="G155" s="69"/>
    </row>
    <row r="156" spans="1:7" ht="14.4" customHeight="1" x14ac:dyDescent="0.3">
      <c r="A156" s="35" t="s">
        <v>32</v>
      </c>
      <c r="B156" s="35"/>
      <c r="C156" s="36"/>
      <c r="D156" s="36"/>
      <c r="E156" s="36"/>
      <c r="F156" s="36"/>
      <c r="G156" s="38"/>
    </row>
  </sheetData>
  <mergeCells count="40">
    <mergeCell ref="A32:C32"/>
    <mergeCell ref="F32:G32"/>
    <mergeCell ref="A1:G1"/>
    <mergeCell ref="A2:G2"/>
    <mergeCell ref="A3:G3"/>
    <mergeCell ref="A26:D26"/>
    <mergeCell ref="F26:G26"/>
    <mergeCell ref="A80:G80"/>
    <mergeCell ref="A33:C33"/>
    <mergeCell ref="F33:G33"/>
    <mergeCell ref="A40:G40"/>
    <mergeCell ref="A41:G41"/>
    <mergeCell ref="A42:G42"/>
    <mergeCell ref="A65:D65"/>
    <mergeCell ref="A71:C71"/>
    <mergeCell ref="F71:G71"/>
    <mergeCell ref="A72:C72"/>
    <mergeCell ref="F72:G72"/>
    <mergeCell ref="A79:G79"/>
    <mergeCell ref="F65:G65"/>
    <mergeCell ref="A81:G81"/>
    <mergeCell ref="A104:D104"/>
    <mergeCell ref="A110:C110"/>
    <mergeCell ref="F110:G110"/>
    <mergeCell ref="A111:C111"/>
    <mergeCell ref="F111:G111"/>
    <mergeCell ref="F104:G104"/>
    <mergeCell ref="A155:G155"/>
    <mergeCell ref="A114:G114"/>
    <mergeCell ref="A116:G116"/>
    <mergeCell ref="A118:G118"/>
    <mergeCell ref="A119:G119"/>
    <mergeCell ref="A120:G120"/>
    <mergeCell ref="A143:D143"/>
    <mergeCell ref="A149:C149"/>
    <mergeCell ref="F149:G149"/>
    <mergeCell ref="A150:C150"/>
    <mergeCell ref="F150:G150"/>
    <mergeCell ref="A153:G153"/>
    <mergeCell ref="F143:G143"/>
  </mergeCells>
  <dataValidations count="1">
    <dataValidation type="list" allowBlank="1" showInputMessage="1" showErrorMessage="1" sqref="B6:B25" xr:uid="{00000000-0002-0000-0000-000000000000}">
      <formula1>Itemcode</formula1>
    </dataValidation>
  </dataValidations>
  <printOptions horizontalCentered="1" verticalCentered="1"/>
  <pageMargins left="0.1" right="0.1" top="0.5" bottom="0.3" header="0" footer="0"/>
  <pageSetup paperSize="9" scale="77" orientation="portrait" r:id="rId1"/>
  <rowBreaks count="3" manualBreakCount="3">
    <brk id="39" max="5" man="1"/>
    <brk id="78" max="4" man="1"/>
    <brk id="117" max="5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67"/>
  <sheetViews>
    <sheetView topLeftCell="A1003" zoomScaleNormal="100" workbookViewId="0">
      <selection activeCell="B1021" sqref="B1021"/>
    </sheetView>
  </sheetViews>
  <sheetFormatPr defaultColWidth="9.109375" defaultRowHeight="13.8" x14ac:dyDescent="0.3"/>
  <cols>
    <col min="1" max="1" width="9.109375" style="40"/>
    <col min="2" max="2" width="50.88671875" style="59" customWidth="1"/>
    <col min="3" max="3" width="14" style="40" bestFit="1" customWidth="1"/>
    <col min="4" max="16384" width="9.109375" style="40"/>
  </cols>
  <sheetData>
    <row r="1" spans="1:6" ht="15" x14ac:dyDescent="0.3">
      <c r="A1" s="54" t="s">
        <v>5</v>
      </c>
      <c r="B1" s="57" t="s">
        <v>33</v>
      </c>
      <c r="C1" s="54" t="s">
        <v>7</v>
      </c>
      <c r="D1" s="54" t="s">
        <v>34</v>
      </c>
      <c r="E1" s="54" t="s">
        <v>9</v>
      </c>
      <c r="F1" s="54" t="s">
        <v>10</v>
      </c>
    </row>
    <row r="2" spans="1:6" x14ac:dyDescent="0.3">
      <c r="A2" s="42"/>
      <c r="B2" s="58">
        <v>44738.465300115742</v>
      </c>
      <c r="C2" s="42" t="s">
        <v>3</v>
      </c>
      <c r="D2" s="42"/>
      <c r="E2" s="42"/>
      <c r="F2" s="42">
        <v>1101</v>
      </c>
    </row>
    <row r="3" spans="1:6" x14ac:dyDescent="0.3">
      <c r="A3" s="42" t="s">
        <v>5</v>
      </c>
      <c r="B3" s="58" t="s">
        <v>6</v>
      </c>
      <c r="C3" s="42" t="s">
        <v>7</v>
      </c>
      <c r="D3" s="42" t="s">
        <v>8</v>
      </c>
      <c r="E3" s="42" t="s">
        <v>9</v>
      </c>
      <c r="F3" s="42" t="s">
        <v>10</v>
      </c>
    </row>
    <row r="4" spans="1:6" x14ac:dyDescent="0.3">
      <c r="A4" s="42">
        <v>1021</v>
      </c>
      <c r="B4" s="58" t="s">
        <v>64</v>
      </c>
      <c r="C4" s="42" t="s">
        <v>44</v>
      </c>
      <c r="D4" s="42">
        <v>5</v>
      </c>
      <c r="E4" s="42">
        <v>170</v>
      </c>
      <c r="F4" s="42">
        <v>850</v>
      </c>
    </row>
    <row r="5" spans="1:6" x14ac:dyDescent="0.3">
      <c r="A5" s="42">
        <v>1031</v>
      </c>
      <c r="B5" s="58" t="s">
        <v>72</v>
      </c>
      <c r="C5" s="42" t="s">
        <v>44</v>
      </c>
      <c r="D5" s="42">
        <v>6</v>
      </c>
      <c r="E5" s="42">
        <v>80</v>
      </c>
      <c r="F5" s="42">
        <v>480</v>
      </c>
    </row>
    <row r="6" spans="1:6" x14ac:dyDescent="0.3">
      <c r="A6" s="42">
        <v>1033</v>
      </c>
      <c r="B6" s="58" t="s">
        <v>74</v>
      </c>
      <c r="C6" s="42" t="s">
        <v>44</v>
      </c>
      <c r="D6" s="42">
        <v>2</v>
      </c>
      <c r="E6" s="42">
        <v>180</v>
      </c>
      <c r="F6" s="42">
        <v>360</v>
      </c>
    </row>
    <row r="7" spans="1:6" x14ac:dyDescent="0.3">
      <c r="A7" s="42">
        <v>1040</v>
      </c>
      <c r="B7" s="58" t="s">
        <v>82</v>
      </c>
      <c r="C7" s="42" t="s">
        <v>44</v>
      </c>
      <c r="D7" s="42">
        <v>15</v>
      </c>
      <c r="E7" s="42">
        <v>20</v>
      </c>
      <c r="F7" s="42">
        <v>300</v>
      </c>
    </row>
    <row r="8" spans="1:6" x14ac:dyDescent="0.3">
      <c r="A8" s="42">
        <v>1106</v>
      </c>
      <c r="B8" s="58" t="s">
        <v>116</v>
      </c>
      <c r="C8" s="42" t="s">
        <v>111</v>
      </c>
      <c r="D8" s="42">
        <v>2</v>
      </c>
      <c r="E8" s="42">
        <v>45</v>
      </c>
      <c r="F8" s="42">
        <v>90</v>
      </c>
    </row>
    <row r="9" spans="1:6" x14ac:dyDescent="0.3">
      <c r="A9" s="42">
        <v>1108</v>
      </c>
      <c r="B9" s="58" t="s">
        <v>118</v>
      </c>
      <c r="C9" s="42" t="s">
        <v>111</v>
      </c>
      <c r="D9" s="42">
        <v>2</v>
      </c>
      <c r="E9" s="42">
        <v>5</v>
      </c>
      <c r="F9" s="42">
        <v>10</v>
      </c>
    </row>
    <row r="10" spans="1:6" x14ac:dyDescent="0.3">
      <c r="A10" s="42"/>
      <c r="B10" s="58">
        <v>44738.470956944446</v>
      </c>
      <c r="C10" s="42" t="s">
        <v>3</v>
      </c>
      <c r="D10" s="42"/>
      <c r="E10" s="42"/>
      <c r="F10" s="42">
        <v>1102</v>
      </c>
    </row>
    <row r="11" spans="1:6" x14ac:dyDescent="0.3">
      <c r="A11" s="42" t="s">
        <v>5</v>
      </c>
      <c r="B11" s="58" t="s">
        <v>6</v>
      </c>
      <c r="C11" s="42" t="s">
        <v>7</v>
      </c>
      <c r="D11" s="42" t="s">
        <v>8</v>
      </c>
      <c r="E11" s="42" t="s">
        <v>9</v>
      </c>
      <c r="F11" s="42" t="s">
        <v>10</v>
      </c>
    </row>
    <row r="12" spans="1:6" x14ac:dyDescent="0.3">
      <c r="A12" s="42">
        <v>1013</v>
      </c>
      <c r="B12" s="58" t="s">
        <v>56</v>
      </c>
      <c r="C12" s="42" t="s">
        <v>44</v>
      </c>
      <c r="D12" s="42">
        <v>2</v>
      </c>
      <c r="E12" s="42">
        <v>1000</v>
      </c>
      <c r="F12" s="42">
        <v>2000</v>
      </c>
    </row>
    <row r="13" spans="1:6" x14ac:dyDescent="0.3">
      <c r="A13" s="42">
        <v>1030</v>
      </c>
      <c r="B13" s="58" t="s">
        <v>71</v>
      </c>
      <c r="C13" s="42" t="s">
        <v>44</v>
      </c>
      <c r="D13" s="42">
        <v>30</v>
      </c>
      <c r="E13" s="42">
        <v>100</v>
      </c>
      <c r="F13" s="42">
        <v>3000</v>
      </c>
    </row>
    <row r="14" spans="1:6" x14ac:dyDescent="0.3">
      <c r="A14" s="42">
        <v>1035</v>
      </c>
      <c r="B14" s="58" t="s">
        <v>76</v>
      </c>
      <c r="C14" s="42" t="s">
        <v>44</v>
      </c>
      <c r="D14" s="42">
        <v>2</v>
      </c>
      <c r="E14" s="42">
        <v>110</v>
      </c>
      <c r="F14" s="42">
        <v>220</v>
      </c>
    </row>
    <row r="15" spans="1:6" x14ac:dyDescent="0.3">
      <c r="A15" s="42">
        <v>1037</v>
      </c>
      <c r="B15" s="58" t="s">
        <v>78</v>
      </c>
      <c r="C15" s="42" t="s">
        <v>79</v>
      </c>
      <c r="D15" s="42">
        <v>6</v>
      </c>
      <c r="E15" s="42">
        <v>50</v>
      </c>
      <c r="F15" s="42">
        <v>300</v>
      </c>
    </row>
    <row r="16" spans="1:6" x14ac:dyDescent="0.3">
      <c r="A16" s="42">
        <v>1043</v>
      </c>
      <c r="B16" s="58" t="s">
        <v>85</v>
      </c>
      <c r="C16" s="42" t="s">
        <v>44</v>
      </c>
      <c r="D16" s="42">
        <v>6</v>
      </c>
      <c r="E16" s="42">
        <v>20</v>
      </c>
      <c r="F16" s="42">
        <v>120</v>
      </c>
    </row>
    <row r="17" spans="1:6" x14ac:dyDescent="0.3">
      <c r="A17" s="42">
        <v>1049</v>
      </c>
      <c r="B17" s="58" t="s">
        <v>91</v>
      </c>
      <c r="C17" s="42" t="s">
        <v>44</v>
      </c>
      <c r="D17" s="42">
        <v>1</v>
      </c>
      <c r="E17" s="42">
        <v>350</v>
      </c>
      <c r="F17" s="42">
        <v>350</v>
      </c>
    </row>
    <row r="18" spans="1:6" x14ac:dyDescent="0.3">
      <c r="A18" s="42">
        <v>1113</v>
      </c>
      <c r="B18" s="58" t="s">
        <v>123</v>
      </c>
      <c r="C18" s="42" t="s">
        <v>111</v>
      </c>
      <c r="D18" s="42">
        <v>4</v>
      </c>
      <c r="E18" s="42">
        <v>1000</v>
      </c>
      <c r="F18" s="42">
        <v>4000</v>
      </c>
    </row>
    <row r="19" spans="1:6" x14ac:dyDescent="0.3">
      <c r="A19" s="42">
        <v>1201</v>
      </c>
      <c r="B19" s="58" t="s">
        <v>147</v>
      </c>
      <c r="C19" s="42" t="s">
        <v>111</v>
      </c>
      <c r="D19" s="42">
        <v>1</v>
      </c>
      <c r="E19" s="42">
        <v>3000</v>
      </c>
      <c r="F19" s="42">
        <v>3000</v>
      </c>
    </row>
    <row r="20" spans="1:6" x14ac:dyDescent="0.3">
      <c r="A20" s="42"/>
      <c r="B20" s="58">
        <v>44738.479044907406</v>
      </c>
      <c r="C20" s="42" t="s">
        <v>3</v>
      </c>
      <c r="D20" s="42"/>
      <c r="E20" s="42"/>
      <c r="F20" s="42">
        <v>1103</v>
      </c>
    </row>
    <row r="21" spans="1:6" x14ac:dyDescent="0.3">
      <c r="A21" s="42" t="s">
        <v>5</v>
      </c>
      <c r="B21" s="58" t="s">
        <v>6</v>
      </c>
      <c r="C21" s="42" t="s">
        <v>7</v>
      </c>
      <c r="D21" s="42" t="s">
        <v>8</v>
      </c>
      <c r="E21" s="42" t="s">
        <v>9</v>
      </c>
      <c r="F21" s="42" t="s">
        <v>10</v>
      </c>
    </row>
    <row r="22" spans="1:6" x14ac:dyDescent="0.3">
      <c r="A22" s="42">
        <v>1049</v>
      </c>
      <c r="B22" s="58" t="s">
        <v>91</v>
      </c>
      <c r="C22" s="42" t="s">
        <v>44</v>
      </c>
      <c r="D22" s="42">
        <v>2</v>
      </c>
      <c r="E22" s="42">
        <v>350</v>
      </c>
      <c r="F22" s="42">
        <v>700</v>
      </c>
    </row>
    <row r="23" spans="1:6" x14ac:dyDescent="0.3">
      <c r="A23" s="42">
        <v>1056</v>
      </c>
      <c r="B23" s="58" t="s">
        <v>98</v>
      </c>
      <c r="C23" s="42" t="s">
        <v>44</v>
      </c>
      <c r="D23" s="42">
        <v>20</v>
      </c>
      <c r="E23" s="42">
        <v>5</v>
      </c>
      <c r="F23" s="42">
        <v>100</v>
      </c>
    </row>
    <row r="24" spans="1:6" x14ac:dyDescent="0.3">
      <c r="A24" s="42"/>
      <c r="B24" s="58">
        <v>44738.484824884261</v>
      </c>
      <c r="C24" s="42" t="s">
        <v>3</v>
      </c>
      <c r="D24" s="42"/>
      <c r="E24" s="42"/>
      <c r="F24" s="42">
        <v>1104</v>
      </c>
    </row>
    <row r="25" spans="1:6" x14ac:dyDescent="0.3">
      <c r="A25" s="42" t="s">
        <v>5</v>
      </c>
      <c r="B25" s="58" t="s">
        <v>6</v>
      </c>
      <c r="C25" s="42" t="s">
        <v>7</v>
      </c>
      <c r="D25" s="42" t="s">
        <v>8</v>
      </c>
      <c r="E25" s="42" t="s">
        <v>9</v>
      </c>
      <c r="F25" s="42" t="s">
        <v>10</v>
      </c>
    </row>
    <row r="26" spans="1:6" x14ac:dyDescent="0.3">
      <c r="A26" s="42">
        <v>1030</v>
      </c>
      <c r="B26" s="58" t="s">
        <v>71</v>
      </c>
      <c r="C26" s="42" t="s">
        <v>44</v>
      </c>
      <c r="D26" s="42">
        <v>6</v>
      </c>
      <c r="E26" s="42">
        <v>100</v>
      </c>
      <c r="F26" s="42">
        <v>600</v>
      </c>
    </row>
    <row r="27" spans="1:6" x14ac:dyDescent="0.3">
      <c r="A27" s="42">
        <v>1040</v>
      </c>
      <c r="B27" s="58" t="s">
        <v>82</v>
      </c>
      <c r="C27" s="42" t="s">
        <v>44</v>
      </c>
      <c r="D27" s="42">
        <v>10</v>
      </c>
      <c r="E27" s="42">
        <v>20</v>
      </c>
      <c r="F27" s="42">
        <v>200</v>
      </c>
    </row>
    <row r="28" spans="1:6" x14ac:dyDescent="0.3">
      <c r="A28" s="42">
        <v>1056</v>
      </c>
      <c r="B28" s="58" t="s">
        <v>98</v>
      </c>
      <c r="C28" s="42" t="s">
        <v>44</v>
      </c>
      <c r="D28" s="42">
        <v>24</v>
      </c>
      <c r="E28" s="42">
        <v>5</v>
      </c>
      <c r="F28" s="42">
        <v>120</v>
      </c>
    </row>
    <row r="29" spans="1:6" x14ac:dyDescent="0.3">
      <c r="A29" s="42">
        <v>1106</v>
      </c>
      <c r="B29" s="58" t="s">
        <v>116</v>
      </c>
      <c r="C29" s="42" t="s">
        <v>111</v>
      </c>
      <c r="D29" s="42">
        <v>5</v>
      </c>
      <c r="E29" s="42">
        <v>45</v>
      </c>
      <c r="F29" s="42">
        <v>225</v>
      </c>
    </row>
    <row r="30" spans="1:6" x14ac:dyDescent="0.3">
      <c r="A30" s="42">
        <v>1108</v>
      </c>
      <c r="B30" s="58" t="s">
        <v>118</v>
      </c>
      <c r="C30" s="42" t="s">
        <v>111</v>
      </c>
      <c r="D30" s="42">
        <v>4</v>
      </c>
      <c r="E30" s="42">
        <v>5</v>
      </c>
      <c r="F30" s="42">
        <v>20</v>
      </c>
    </row>
    <row r="31" spans="1:6" x14ac:dyDescent="0.3">
      <c r="A31" s="42">
        <v>1113</v>
      </c>
      <c r="B31" s="58" t="s">
        <v>123</v>
      </c>
      <c r="C31" s="42" t="s">
        <v>111</v>
      </c>
      <c r="D31" s="42">
        <v>1</v>
      </c>
      <c r="E31" s="42">
        <v>1000</v>
      </c>
      <c r="F31" s="42">
        <v>1000</v>
      </c>
    </row>
    <row r="32" spans="1:6" x14ac:dyDescent="0.3">
      <c r="A32" s="42">
        <v>1201</v>
      </c>
      <c r="B32" s="58" t="s">
        <v>147</v>
      </c>
      <c r="C32" s="42" t="s">
        <v>111</v>
      </c>
      <c r="D32" s="42">
        <v>1</v>
      </c>
      <c r="E32" s="42">
        <v>3000</v>
      </c>
      <c r="F32" s="42">
        <v>3000</v>
      </c>
    </row>
    <row r="33" spans="1:6" x14ac:dyDescent="0.3">
      <c r="A33" s="42">
        <v>1059</v>
      </c>
      <c r="B33" s="58" t="s">
        <v>101</v>
      </c>
      <c r="C33" s="42" t="s">
        <v>44</v>
      </c>
      <c r="D33" s="42">
        <v>2</v>
      </c>
      <c r="E33" s="42">
        <v>100</v>
      </c>
      <c r="F33" s="42">
        <v>200</v>
      </c>
    </row>
    <row r="34" spans="1:6" x14ac:dyDescent="0.3">
      <c r="A34" s="42">
        <v>1060</v>
      </c>
      <c r="B34" s="58" t="s">
        <v>102</v>
      </c>
      <c r="C34" s="42" t="s">
        <v>44</v>
      </c>
      <c r="D34" s="42">
        <v>1</v>
      </c>
      <c r="E34" s="42">
        <v>20</v>
      </c>
      <c r="F34" s="42">
        <v>20</v>
      </c>
    </row>
    <row r="35" spans="1:6" x14ac:dyDescent="0.3">
      <c r="A35" s="42"/>
      <c r="B35" s="58">
        <v>44738.488624305559</v>
      </c>
      <c r="C35" s="42" t="s">
        <v>3</v>
      </c>
      <c r="D35" s="42"/>
      <c r="E35" s="42"/>
      <c r="F35" s="42">
        <v>1105</v>
      </c>
    </row>
    <row r="36" spans="1:6" x14ac:dyDescent="0.3">
      <c r="A36" s="42" t="s">
        <v>5</v>
      </c>
      <c r="B36" s="58" t="s">
        <v>6</v>
      </c>
      <c r="C36" s="42" t="s">
        <v>7</v>
      </c>
      <c r="D36" s="42" t="s">
        <v>8</v>
      </c>
      <c r="E36" s="42" t="s">
        <v>9</v>
      </c>
      <c r="F36" s="42" t="s">
        <v>10</v>
      </c>
    </row>
    <row r="37" spans="1:6" x14ac:dyDescent="0.3">
      <c r="A37" s="42">
        <v>1106</v>
      </c>
      <c r="B37" s="58" t="s">
        <v>116</v>
      </c>
      <c r="C37" s="42" t="s">
        <v>111</v>
      </c>
      <c r="D37" s="42">
        <v>8</v>
      </c>
      <c r="E37" s="42">
        <v>45</v>
      </c>
      <c r="F37" s="42">
        <v>360</v>
      </c>
    </row>
    <row r="38" spans="1:6" x14ac:dyDescent="0.3">
      <c r="A38" s="42">
        <v>1040</v>
      </c>
      <c r="B38" s="58" t="s">
        <v>82</v>
      </c>
      <c r="C38" s="42" t="s">
        <v>44</v>
      </c>
      <c r="D38" s="42">
        <v>15</v>
      </c>
      <c r="E38" s="42">
        <v>20</v>
      </c>
      <c r="F38" s="42">
        <v>300</v>
      </c>
    </row>
    <row r="39" spans="1:6" x14ac:dyDescent="0.3">
      <c r="A39" s="42">
        <v>1021</v>
      </c>
      <c r="B39" s="58" t="s">
        <v>64</v>
      </c>
      <c r="C39" s="42" t="s">
        <v>44</v>
      </c>
      <c r="D39" s="42">
        <v>3</v>
      </c>
      <c r="E39" s="42">
        <v>170</v>
      </c>
      <c r="F39" s="42">
        <v>510</v>
      </c>
    </row>
    <row r="40" spans="1:6" x14ac:dyDescent="0.3">
      <c r="A40" s="42">
        <v>1060</v>
      </c>
      <c r="B40" s="58" t="s">
        <v>102</v>
      </c>
      <c r="C40" s="42" t="s">
        <v>44</v>
      </c>
      <c r="D40" s="42">
        <v>1</v>
      </c>
      <c r="E40" s="42">
        <v>20</v>
      </c>
      <c r="F40" s="42">
        <v>20</v>
      </c>
    </row>
    <row r="41" spans="1:6" x14ac:dyDescent="0.3">
      <c r="A41" s="42"/>
      <c r="B41" s="58">
        <v>44738.493825347221</v>
      </c>
      <c r="C41" s="42" t="s">
        <v>3</v>
      </c>
      <c r="D41" s="42"/>
      <c r="E41" s="42"/>
      <c r="F41" s="42">
        <v>1106</v>
      </c>
    </row>
    <row r="42" spans="1:6" x14ac:dyDescent="0.3">
      <c r="A42" s="42" t="s">
        <v>5</v>
      </c>
      <c r="B42" s="58" t="s">
        <v>6</v>
      </c>
      <c r="C42" s="42" t="s">
        <v>7</v>
      </c>
      <c r="D42" s="42" t="s">
        <v>8</v>
      </c>
      <c r="E42" s="42" t="s">
        <v>9</v>
      </c>
      <c r="F42" s="42" t="s">
        <v>10</v>
      </c>
    </row>
    <row r="43" spans="1:6" x14ac:dyDescent="0.3">
      <c r="A43" s="42">
        <v>1021</v>
      </c>
      <c r="B43" s="58" t="s">
        <v>64</v>
      </c>
      <c r="C43" s="42" t="s">
        <v>44</v>
      </c>
      <c r="D43" s="42">
        <v>10</v>
      </c>
      <c r="E43" s="42">
        <v>170</v>
      </c>
      <c r="F43" s="42">
        <v>1700</v>
      </c>
    </row>
    <row r="44" spans="1:6" x14ac:dyDescent="0.3">
      <c r="A44" s="42">
        <v>1030</v>
      </c>
      <c r="B44" s="58" t="s">
        <v>71</v>
      </c>
      <c r="C44" s="42" t="s">
        <v>44</v>
      </c>
      <c r="D44" s="42">
        <v>10</v>
      </c>
      <c r="E44" s="42">
        <v>100</v>
      </c>
      <c r="F44" s="42">
        <v>1000</v>
      </c>
    </row>
    <row r="45" spans="1:6" x14ac:dyDescent="0.3">
      <c r="A45" s="42">
        <v>1037</v>
      </c>
      <c r="B45" s="58" t="s">
        <v>78</v>
      </c>
      <c r="C45" s="42" t="s">
        <v>79</v>
      </c>
      <c r="D45" s="42">
        <v>6</v>
      </c>
      <c r="E45" s="42">
        <v>50</v>
      </c>
      <c r="F45" s="42">
        <v>300</v>
      </c>
    </row>
    <row r="46" spans="1:6" x14ac:dyDescent="0.3">
      <c r="A46" s="42">
        <v>1040</v>
      </c>
      <c r="B46" s="58" t="s">
        <v>82</v>
      </c>
      <c r="C46" s="42" t="s">
        <v>44</v>
      </c>
      <c r="D46" s="42">
        <v>12</v>
      </c>
      <c r="E46" s="42">
        <v>20</v>
      </c>
      <c r="F46" s="42">
        <v>240</v>
      </c>
    </row>
    <row r="47" spans="1:6" x14ac:dyDescent="0.3">
      <c r="A47" s="42">
        <v>1113</v>
      </c>
      <c r="B47" s="58" t="s">
        <v>123</v>
      </c>
      <c r="C47" s="42" t="s">
        <v>111</v>
      </c>
      <c r="D47" s="42">
        <v>3</v>
      </c>
      <c r="E47" s="42">
        <v>1000</v>
      </c>
      <c r="F47" s="42">
        <v>3000</v>
      </c>
    </row>
    <row r="48" spans="1:6" x14ac:dyDescent="0.3">
      <c r="A48" s="42">
        <v>1114</v>
      </c>
      <c r="B48" s="58" t="s">
        <v>124</v>
      </c>
      <c r="C48" s="42" t="s">
        <v>111</v>
      </c>
      <c r="D48" s="42">
        <v>1</v>
      </c>
      <c r="E48" s="42">
        <v>450</v>
      </c>
      <c r="F48" s="42">
        <v>450</v>
      </c>
    </row>
    <row r="49" spans="1:6" x14ac:dyDescent="0.3">
      <c r="A49" s="42">
        <v>1036</v>
      </c>
      <c r="B49" s="58" t="s">
        <v>77</v>
      </c>
      <c r="C49" s="42" t="s">
        <v>44</v>
      </c>
      <c r="D49" s="42">
        <v>6</v>
      </c>
      <c r="E49" s="42">
        <v>10</v>
      </c>
      <c r="F49" s="42">
        <v>60</v>
      </c>
    </row>
    <row r="50" spans="1:6" x14ac:dyDescent="0.3">
      <c r="A50" s="42">
        <v>1057</v>
      </c>
      <c r="B50" s="58" t="s">
        <v>99</v>
      </c>
      <c r="C50" s="42" t="s">
        <v>44</v>
      </c>
      <c r="D50" s="42">
        <v>2</v>
      </c>
      <c r="E50" s="42">
        <v>30</v>
      </c>
      <c r="F50" s="42">
        <v>60</v>
      </c>
    </row>
    <row r="51" spans="1:6" x14ac:dyDescent="0.3">
      <c r="A51" s="42">
        <v>1023</v>
      </c>
      <c r="B51" s="58" t="s">
        <v>66</v>
      </c>
      <c r="C51" s="42" t="s">
        <v>44</v>
      </c>
      <c r="D51" s="42">
        <v>1</v>
      </c>
      <c r="E51" s="42">
        <v>400</v>
      </c>
      <c r="F51" s="42">
        <v>400</v>
      </c>
    </row>
    <row r="52" spans="1:6" x14ac:dyDescent="0.3">
      <c r="A52" s="42">
        <v>1052</v>
      </c>
      <c r="B52" s="58" t="s">
        <v>94</v>
      </c>
      <c r="C52" s="42" t="s">
        <v>44</v>
      </c>
      <c r="D52" s="42">
        <v>20</v>
      </c>
      <c r="E52" s="42">
        <v>2</v>
      </c>
      <c r="F52" s="42">
        <v>40</v>
      </c>
    </row>
    <row r="53" spans="1:6" x14ac:dyDescent="0.3">
      <c r="A53" s="42"/>
      <c r="B53" s="58">
        <v>44738.501244907406</v>
      </c>
      <c r="C53" s="42" t="s">
        <v>3</v>
      </c>
      <c r="D53" s="42"/>
      <c r="E53" s="42"/>
      <c r="F53" s="42">
        <v>1107</v>
      </c>
    </row>
    <row r="54" spans="1:6" x14ac:dyDescent="0.3">
      <c r="A54" s="42" t="s">
        <v>5</v>
      </c>
      <c r="B54" s="58" t="s">
        <v>6</v>
      </c>
      <c r="C54" s="42" t="s">
        <v>7</v>
      </c>
      <c r="D54" s="42" t="s">
        <v>8</v>
      </c>
      <c r="E54" s="42" t="s">
        <v>9</v>
      </c>
      <c r="F54" s="42" t="s">
        <v>10</v>
      </c>
    </row>
    <row r="55" spans="1:6" x14ac:dyDescent="0.3">
      <c r="A55" s="42">
        <v>1040</v>
      </c>
      <c r="B55" s="58" t="s">
        <v>82</v>
      </c>
      <c r="C55" s="42" t="s">
        <v>44</v>
      </c>
      <c r="D55" s="42">
        <v>15</v>
      </c>
      <c r="E55" s="42">
        <v>20</v>
      </c>
      <c r="F55" s="42">
        <v>300</v>
      </c>
    </row>
    <row r="56" spans="1:6" x14ac:dyDescent="0.3">
      <c r="A56" s="42">
        <v>1201</v>
      </c>
      <c r="B56" s="58" t="s">
        <v>147</v>
      </c>
      <c r="C56" s="42" t="s">
        <v>111</v>
      </c>
      <c r="D56" s="42">
        <v>1</v>
      </c>
      <c r="E56" s="42">
        <v>3000</v>
      </c>
      <c r="F56" s="42">
        <v>3000</v>
      </c>
    </row>
    <row r="57" spans="1:6" x14ac:dyDescent="0.3">
      <c r="A57" s="42"/>
      <c r="B57" s="58">
        <v>44738.504979861114</v>
      </c>
      <c r="C57" s="42" t="s">
        <v>3</v>
      </c>
      <c r="D57" s="42"/>
      <c r="E57" s="42"/>
      <c r="F57" s="42">
        <v>1108</v>
      </c>
    </row>
    <row r="58" spans="1:6" x14ac:dyDescent="0.3">
      <c r="A58" s="42" t="s">
        <v>5</v>
      </c>
      <c r="B58" s="58" t="s">
        <v>6</v>
      </c>
      <c r="C58" s="42" t="s">
        <v>7</v>
      </c>
      <c r="D58" s="42" t="s">
        <v>8</v>
      </c>
      <c r="E58" s="42" t="s">
        <v>9</v>
      </c>
      <c r="F58" s="42" t="s">
        <v>10</v>
      </c>
    </row>
    <row r="59" spans="1:6" x14ac:dyDescent="0.3">
      <c r="A59" s="42">
        <v>1021</v>
      </c>
      <c r="B59" s="58" t="s">
        <v>64</v>
      </c>
      <c r="C59" s="42" t="s">
        <v>44</v>
      </c>
      <c r="D59" s="42">
        <v>10</v>
      </c>
      <c r="E59" s="42">
        <v>170</v>
      </c>
      <c r="F59" s="42">
        <v>1700</v>
      </c>
    </row>
    <row r="60" spans="1:6" x14ac:dyDescent="0.3">
      <c r="A60" s="42">
        <v>1030</v>
      </c>
      <c r="B60" s="58" t="s">
        <v>71</v>
      </c>
      <c r="C60" s="42" t="s">
        <v>44</v>
      </c>
      <c r="D60" s="42">
        <v>18</v>
      </c>
      <c r="E60" s="42">
        <v>100</v>
      </c>
      <c r="F60" s="42">
        <v>1800</v>
      </c>
    </row>
    <row r="61" spans="1:6" x14ac:dyDescent="0.3">
      <c r="A61" s="42">
        <v>1033</v>
      </c>
      <c r="B61" s="58" t="s">
        <v>74</v>
      </c>
      <c r="C61" s="42" t="s">
        <v>44</v>
      </c>
      <c r="D61" s="42">
        <v>2</v>
      </c>
      <c r="E61" s="42">
        <v>180</v>
      </c>
      <c r="F61" s="42">
        <v>360</v>
      </c>
    </row>
    <row r="62" spans="1:6" x14ac:dyDescent="0.3">
      <c r="A62" s="42">
        <v>1040</v>
      </c>
      <c r="B62" s="58" t="s">
        <v>82</v>
      </c>
      <c r="C62" s="42" t="s">
        <v>44</v>
      </c>
      <c r="D62" s="42">
        <v>10</v>
      </c>
      <c r="E62" s="42">
        <v>20</v>
      </c>
      <c r="F62" s="42">
        <v>200</v>
      </c>
    </row>
    <row r="63" spans="1:6" x14ac:dyDescent="0.3">
      <c r="A63" s="42">
        <v>1103</v>
      </c>
      <c r="B63" s="58" t="s">
        <v>113</v>
      </c>
      <c r="C63" s="42" t="s">
        <v>111</v>
      </c>
      <c r="D63" s="42">
        <v>3</v>
      </c>
      <c r="E63" s="42">
        <v>30</v>
      </c>
      <c r="F63" s="42">
        <v>90</v>
      </c>
    </row>
    <row r="64" spans="1:6" x14ac:dyDescent="0.3">
      <c r="A64" s="42">
        <v>1106</v>
      </c>
      <c r="B64" s="58" t="s">
        <v>116</v>
      </c>
      <c r="C64" s="42" t="s">
        <v>111</v>
      </c>
      <c r="D64" s="42">
        <v>2</v>
      </c>
      <c r="E64" s="42">
        <v>45</v>
      </c>
      <c r="F64" s="42">
        <v>90</v>
      </c>
    </row>
    <row r="65" spans="1:6" x14ac:dyDescent="0.3">
      <c r="A65" s="42">
        <v>1108</v>
      </c>
      <c r="B65" s="58" t="s">
        <v>118</v>
      </c>
      <c r="C65" s="42" t="s">
        <v>111</v>
      </c>
      <c r="D65" s="42">
        <v>4</v>
      </c>
      <c r="E65" s="42">
        <v>5</v>
      </c>
      <c r="F65" s="42">
        <v>20</v>
      </c>
    </row>
    <row r="66" spans="1:6" x14ac:dyDescent="0.3">
      <c r="A66" s="42">
        <v>1113</v>
      </c>
      <c r="B66" s="58" t="s">
        <v>123</v>
      </c>
      <c r="C66" s="42" t="s">
        <v>111</v>
      </c>
      <c r="D66" s="42">
        <v>1</v>
      </c>
      <c r="E66" s="42">
        <v>1000</v>
      </c>
      <c r="F66" s="42">
        <v>1000</v>
      </c>
    </row>
    <row r="67" spans="1:6" x14ac:dyDescent="0.3">
      <c r="A67" s="42">
        <v>1134</v>
      </c>
      <c r="B67" s="58" t="s">
        <v>145</v>
      </c>
      <c r="C67" s="42" t="s">
        <v>111</v>
      </c>
      <c r="D67" s="42">
        <v>1</v>
      </c>
      <c r="E67" s="42">
        <v>150</v>
      </c>
      <c r="F67" s="42">
        <v>150</v>
      </c>
    </row>
    <row r="68" spans="1:6" x14ac:dyDescent="0.3">
      <c r="A68" s="42">
        <v>1201</v>
      </c>
      <c r="B68" s="58" t="s">
        <v>147</v>
      </c>
      <c r="C68" s="42" t="s">
        <v>111</v>
      </c>
      <c r="D68" s="42">
        <v>1</v>
      </c>
      <c r="E68" s="42">
        <v>3000</v>
      </c>
      <c r="F68" s="42">
        <v>3000</v>
      </c>
    </row>
    <row r="69" spans="1:6" x14ac:dyDescent="0.3">
      <c r="A69" s="42"/>
      <c r="B69" s="58">
        <v>44738.510052546299</v>
      </c>
      <c r="C69" s="42" t="s">
        <v>3</v>
      </c>
      <c r="D69" s="42"/>
      <c r="E69" s="42"/>
      <c r="F69" s="42">
        <v>1109</v>
      </c>
    </row>
    <row r="70" spans="1:6" x14ac:dyDescent="0.3">
      <c r="A70" s="42" t="s">
        <v>5</v>
      </c>
      <c r="B70" s="58" t="s">
        <v>6</v>
      </c>
      <c r="C70" s="42" t="s">
        <v>7</v>
      </c>
      <c r="D70" s="42" t="s">
        <v>8</v>
      </c>
      <c r="E70" s="42" t="s">
        <v>9</v>
      </c>
      <c r="F70" s="42" t="s">
        <v>10</v>
      </c>
    </row>
    <row r="71" spans="1:6" x14ac:dyDescent="0.3">
      <c r="A71" s="42">
        <v>1003</v>
      </c>
      <c r="B71" s="58" t="s">
        <v>46</v>
      </c>
      <c r="C71" s="42" t="s">
        <v>44</v>
      </c>
      <c r="D71" s="42">
        <v>1</v>
      </c>
      <c r="E71" s="42">
        <v>2000</v>
      </c>
      <c r="F71" s="42">
        <v>2000</v>
      </c>
    </row>
    <row r="72" spans="1:6" x14ac:dyDescent="0.3">
      <c r="A72" s="42">
        <v>1010</v>
      </c>
      <c r="B72" s="58" t="s">
        <v>53</v>
      </c>
      <c r="C72" s="42" t="s">
        <v>44</v>
      </c>
      <c r="D72" s="42">
        <v>1</v>
      </c>
      <c r="E72" s="42">
        <v>3600</v>
      </c>
      <c r="F72" s="42">
        <v>3600</v>
      </c>
    </row>
    <row r="73" spans="1:6" x14ac:dyDescent="0.3">
      <c r="A73" s="42">
        <v>1002</v>
      </c>
      <c r="B73" s="58" t="s">
        <v>45</v>
      </c>
      <c r="C73" s="42" t="s">
        <v>44</v>
      </c>
      <c r="D73" s="42">
        <v>1</v>
      </c>
      <c r="E73" s="42">
        <v>750</v>
      </c>
      <c r="F73" s="42">
        <v>750</v>
      </c>
    </row>
    <row r="74" spans="1:6" x14ac:dyDescent="0.3">
      <c r="A74" s="42">
        <v>1020</v>
      </c>
      <c r="B74" s="58" t="s">
        <v>63</v>
      </c>
      <c r="C74" s="42" t="s">
        <v>44</v>
      </c>
      <c r="D74" s="42">
        <v>1</v>
      </c>
      <c r="E74" s="42">
        <v>2500</v>
      </c>
      <c r="F74" s="42">
        <v>2500</v>
      </c>
    </row>
    <row r="75" spans="1:6" x14ac:dyDescent="0.3">
      <c r="A75" s="42">
        <v>1021</v>
      </c>
      <c r="B75" s="58" t="s">
        <v>64</v>
      </c>
      <c r="C75" s="42" t="s">
        <v>44</v>
      </c>
      <c r="D75" s="42">
        <v>10</v>
      </c>
      <c r="E75" s="42">
        <v>170</v>
      </c>
      <c r="F75" s="42">
        <v>1700</v>
      </c>
    </row>
    <row r="76" spans="1:6" x14ac:dyDescent="0.3">
      <c r="A76" s="42">
        <v>1030</v>
      </c>
      <c r="B76" s="58" t="s">
        <v>71</v>
      </c>
      <c r="C76" s="42" t="s">
        <v>44</v>
      </c>
      <c r="D76" s="42">
        <v>25</v>
      </c>
      <c r="E76" s="42">
        <v>100</v>
      </c>
      <c r="F76" s="42">
        <v>2500</v>
      </c>
    </row>
    <row r="77" spans="1:6" x14ac:dyDescent="0.3">
      <c r="A77" s="42">
        <v>1035</v>
      </c>
      <c r="B77" s="58" t="s">
        <v>76</v>
      </c>
      <c r="C77" s="42" t="s">
        <v>44</v>
      </c>
      <c r="D77" s="42">
        <v>3</v>
      </c>
      <c r="E77" s="42">
        <v>110</v>
      </c>
      <c r="F77" s="42">
        <v>330</v>
      </c>
    </row>
    <row r="78" spans="1:6" x14ac:dyDescent="0.3">
      <c r="A78" s="42">
        <v>1036</v>
      </c>
      <c r="B78" s="58" t="s">
        <v>77</v>
      </c>
      <c r="C78" s="42" t="s">
        <v>44</v>
      </c>
      <c r="D78" s="42">
        <v>10</v>
      </c>
      <c r="E78" s="42">
        <v>10</v>
      </c>
      <c r="F78" s="42">
        <v>100</v>
      </c>
    </row>
    <row r="79" spans="1:6" x14ac:dyDescent="0.3">
      <c r="A79" s="42">
        <v>1037</v>
      </c>
      <c r="B79" s="58" t="s">
        <v>78</v>
      </c>
      <c r="C79" s="42" t="s">
        <v>79</v>
      </c>
      <c r="D79" s="42">
        <v>6</v>
      </c>
      <c r="E79" s="42">
        <v>50</v>
      </c>
      <c r="F79" s="42">
        <v>300</v>
      </c>
    </row>
    <row r="80" spans="1:6" x14ac:dyDescent="0.3">
      <c r="A80" s="42">
        <v>1040</v>
      </c>
      <c r="B80" s="58" t="s">
        <v>82</v>
      </c>
      <c r="C80" s="42" t="s">
        <v>44</v>
      </c>
      <c r="D80" s="42">
        <v>10</v>
      </c>
      <c r="E80" s="42">
        <v>20</v>
      </c>
      <c r="F80" s="42">
        <v>200</v>
      </c>
    </row>
    <row r="81" spans="1:6" x14ac:dyDescent="0.3">
      <c r="A81" s="42">
        <v>1050</v>
      </c>
      <c r="B81" s="58" t="s">
        <v>92</v>
      </c>
      <c r="C81" s="42" t="s">
        <v>44</v>
      </c>
      <c r="D81" s="42">
        <v>2</v>
      </c>
      <c r="E81" s="42">
        <v>60</v>
      </c>
      <c r="F81" s="42">
        <v>120</v>
      </c>
    </row>
    <row r="82" spans="1:6" x14ac:dyDescent="0.3">
      <c r="A82" s="42">
        <v>1051</v>
      </c>
      <c r="B82" s="58" t="s">
        <v>93</v>
      </c>
      <c r="C82" s="42" t="s">
        <v>44</v>
      </c>
      <c r="D82" s="42">
        <v>2</v>
      </c>
      <c r="E82" s="42">
        <v>10</v>
      </c>
      <c r="F82" s="42">
        <v>20</v>
      </c>
    </row>
    <row r="83" spans="1:6" x14ac:dyDescent="0.3">
      <c r="A83" s="42">
        <v>1101</v>
      </c>
      <c r="B83" s="58" t="s">
        <v>110</v>
      </c>
      <c r="C83" s="42" t="s">
        <v>111</v>
      </c>
      <c r="D83" s="42">
        <v>2</v>
      </c>
      <c r="E83" s="42">
        <v>125</v>
      </c>
      <c r="F83" s="42">
        <v>250</v>
      </c>
    </row>
    <row r="84" spans="1:6" x14ac:dyDescent="0.3">
      <c r="A84" s="42">
        <v>1103</v>
      </c>
      <c r="B84" s="58" t="s">
        <v>113</v>
      </c>
      <c r="C84" s="42" t="s">
        <v>111</v>
      </c>
      <c r="D84" s="42">
        <v>3</v>
      </c>
      <c r="E84" s="42">
        <v>30</v>
      </c>
      <c r="F84" s="42">
        <v>90</v>
      </c>
    </row>
    <row r="85" spans="1:6" x14ac:dyDescent="0.3">
      <c r="A85" s="42">
        <v>1106</v>
      </c>
      <c r="B85" s="58" t="s">
        <v>116</v>
      </c>
      <c r="C85" s="42" t="s">
        <v>111</v>
      </c>
      <c r="D85" s="42">
        <v>2</v>
      </c>
      <c r="E85" s="42">
        <v>45</v>
      </c>
      <c r="F85" s="42">
        <v>90</v>
      </c>
    </row>
    <row r="86" spans="1:6" x14ac:dyDescent="0.3">
      <c r="A86" s="42">
        <v>1108</v>
      </c>
      <c r="B86" s="58" t="s">
        <v>118</v>
      </c>
      <c r="C86" s="42" t="s">
        <v>111</v>
      </c>
      <c r="D86" s="42">
        <v>4</v>
      </c>
      <c r="E86" s="42">
        <v>5</v>
      </c>
      <c r="F86" s="42">
        <v>20</v>
      </c>
    </row>
    <row r="87" spans="1:6" x14ac:dyDescent="0.3">
      <c r="A87" s="42">
        <v>1113</v>
      </c>
      <c r="B87" s="58" t="s">
        <v>123</v>
      </c>
      <c r="C87" s="42" t="s">
        <v>111</v>
      </c>
      <c r="D87" s="42">
        <v>2</v>
      </c>
      <c r="E87" s="42">
        <v>1000</v>
      </c>
      <c r="F87" s="42">
        <v>2000</v>
      </c>
    </row>
    <row r="88" spans="1:6" x14ac:dyDescent="0.3">
      <c r="A88" s="42">
        <v>1114</v>
      </c>
      <c r="B88" s="58" t="s">
        <v>124</v>
      </c>
      <c r="C88" s="42" t="s">
        <v>111</v>
      </c>
      <c r="D88" s="42">
        <v>2</v>
      </c>
      <c r="E88" s="42">
        <v>450</v>
      </c>
      <c r="F88" s="42">
        <v>900</v>
      </c>
    </row>
    <row r="89" spans="1:6" x14ac:dyDescent="0.3">
      <c r="A89" s="42">
        <v>1201</v>
      </c>
      <c r="B89" s="58" t="s">
        <v>147</v>
      </c>
      <c r="C89" s="42" t="s">
        <v>111</v>
      </c>
      <c r="D89" s="42">
        <v>1</v>
      </c>
      <c r="E89" s="42">
        <v>3000</v>
      </c>
      <c r="F89" s="42">
        <v>3000</v>
      </c>
    </row>
    <row r="90" spans="1:6" x14ac:dyDescent="0.3">
      <c r="A90" s="42">
        <v>1001</v>
      </c>
      <c r="B90" s="58" t="s">
        <v>12</v>
      </c>
      <c r="C90" s="42" t="s">
        <v>44</v>
      </c>
      <c r="D90" s="42">
        <v>1</v>
      </c>
      <c r="E90" s="42">
        <v>3000</v>
      </c>
      <c r="F90" s="42">
        <v>3000</v>
      </c>
    </row>
    <row r="91" spans="1:6" x14ac:dyDescent="0.3">
      <c r="A91" s="42"/>
      <c r="B91" s="58">
        <v>44738.512747685185</v>
      </c>
      <c r="C91" s="42" t="s">
        <v>3</v>
      </c>
      <c r="D91" s="42"/>
      <c r="E91" s="42"/>
      <c r="F91" s="42">
        <v>1110</v>
      </c>
    </row>
    <row r="92" spans="1:6" x14ac:dyDescent="0.3">
      <c r="A92" s="42" t="s">
        <v>5</v>
      </c>
      <c r="B92" s="58" t="s">
        <v>6</v>
      </c>
      <c r="C92" s="42" t="s">
        <v>7</v>
      </c>
      <c r="D92" s="42" t="s">
        <v>8</v>
      </c>
      <c r="E92" s="42" t="s">
        <v>9</v>
      </c>
      <c r="F92" s="42" t="s">
        <v>10</v>
      </c>
    </row>
    <row r="93" spans="1:6" x14ac:dyDescent="0.3">
      <c r="A93" s="42">
        <v>1021</v>
      </c>
      <c r="B93" s="58" t="s">
        <v>64</v>
      </c>
      <c r="C93" s="42" t="s">
        <v>44</v>
      </c>
      <c r="D93" s="42">
        <v>10</v>
      </c>
      <c r="E93" s="42">
        <v>170</v>
      </c>
      <c r="F93" s="42">
        <v>1700</v>
      </c>
    </row>
    <row r="94" spans="1:6" x14ac:dyDescent="0.3">
      <c r="A94" s="42">
        <v>1030</v>
      </c>
      <c r="B94" s="58" t="s">
        <v>71</v>
      </c>
      <c r="C94" s="42" t="s">
        <v>44</v>
      </c>
      <c r="D94" s="42">
        <v>12</v>
      </c>
      <c r="E94" s="42">
        <v>100</v>
      </c>
      <c r="F94" s="42">
        <v>1200</v>
      </c>
    </row>
    <row r="95" spans="1:6" x14ac:dyDescent="0.3">
      <c r="A95" s="42">
        <v>1040</v>
      </c>
      <c r="B95" s="58" t="s">
        <v>82</v>
      </c>
      <c r="C95" s="42" t="s">
        <v>44</v>
      </c>
      <c r="D95" s="42">
        <v>15</v>
      </c>
      <c r="E95" s="42">
        <v>20</v>
      </c>
      <c r="F95" s="42">
        <v>300</v>
      </c>
    </row>
    <row r="96" spans="1:6" x14ac:dyDescent="0.3">
      <c r="A96" s="42">
        <v>1056</v>
      </c>
      <c r="B96" s="58" t="s">
        <v>98</v>
      </c>
      <c r="C96" s="42" t="s">
        <v>44</v>
      </c>
      <c r="D96" s="42">
        <v>10</v>
      </c>
      <c r="E96" s="42">
        <v>5</v>
      </c>
      <c r="F96" s="42">
        <v>50</v>
      </c>
    </row>
    <row r="97" spans="1:6" x14ac:dyDescent="0.3">
      <c r="A97" s="42">
        <v>1106</v>
      </c>
      <c r="B97" s="58" t="s">
        <v>116</v>
      </c>
      <c r="C97" s="42" t="s">
        <v>111</v>
      </c>
      <c r="D97" s="42">
        <v>8</v>
      </c>
      <c r="E97" s="42">
        <v>45</v>
      </c>
      <c r="F97" s="42">
        <v>360</v>
      </c>
    </row>
    <row r="98" spans="1:6" x14ac:dyDescent="0.3">
      <c r="A98" s="42">
        <v>1108</v>
      </c>
      <c r="B98" s="58" t="s">
        <v>118</v>
      </c>
      <c r="C98" s="42" t="s">
        <v>111</v>
      </c>
      <c r="D98" s="42">
        <v>4</v>
      </c>
      <c r="E98" s="42">
        <v>5</v>
      </c>
      <c r="F98" s="42">
        <v>20</v>
      </c>
    </row>
    <row r="99" spans="1:6" x14ac:dyDescent="0.3">
      <c r="A99" s="42">
        <v>1113</v>
      </c>
      <c r="B99" s="58" t="s">
        <v>123</v>
      </c>
      <c r="C99" s="42" t="s">
        <v>111</v>
      </c>
      <c r="D99" s="42">
        <v>2</v>
      </c>
      <c r="E99" s="42">
        <v>1000</v>
      </c>
      <c r="F99" s="42">
        <v>2000</v>
      </c>
    </row>
    <row r="100" spans="1:6" x14ac:dyDescent="0.3">
      <c r="A100" s="42"/>
      <c r="B100" s="58">
        <v>44738.518665162039</v>
      </c>
      <c r="C100" s="42" t="s">
        <v>3</v>
      </c>
      <c r="D100" s="42"/>
      <c r="E100" s="42"/>
      <c r="F100" s="42">
        <v>1111</v>
      </c>
    </row>
    <row r="101" spans="1:6" x14ac:dyDescent="0.3">
      <c r="A101" s="42" t="s">
        <v>5</v>
      </c>
      <c r="B101" s="58" t="s">
        <v>6</v>
      </c>
      <c r="C101" s="42" t="s">
        <v>7</v>
      </c>
      <c r="D101" s="42" t="s">
        <v>8</v>
      </c>
      <c r="E101" s="42" t="s">
        <v>9</v>
      </c>
      <c r="F101" s="42" t="s">
        <v>10</v>
      </c>
    </row>
    <row r="102" spans="1:6" x14ac:dyDescent="0.3">
      <c r="A102" s="42">
        <v>1026</v>
      </c>
      <c r="B102" s="58" t="s">
        <v>67</v>
      </c>
      <c r="C102" s="42" t="s">
        <v>44</v>
      </c>
      <c r="D102" s="42">
        <v>2</v>
      </c>
      <c r="E102" s="42">
        <v>60</v>
      </c>
      <c r="F102" s="42">
        <v>120</v>
      </c>
    </row>
    <row r="103" spans="1:6" x14ac:dyDescent="0.3">
      <c r="A103" s="42">
        <v>1029</v>
      </c>
      <c r="B103" s="58" t="s">
        <v>70</v>
      </c>
      <c r="C103" s="42" t="s">
        <v>44</v>
      </c>
      <c r="D103" s="42">
        <v>2</v>
      </c>
      <c r="E103" s="42">
        <v>40</v>
      </c>
      <c r="F103" s="42">
        <v>80</v>
      </c>
    </row>
    <row r="104" spans="1:6" x14ac:dyDescent="0.3">
      <c r="A104" s="42">
        <v>1030</v>
      </c>
      <c r="B104" s="58" t="s">
        <v>71</v>
      </c>
      <c r="C104" s="42" t="s">
        <v>44</v>
      </c>
      <c r="D104" s="42">
        <v>6</v>
      </c>
      <c r="E104" s="42">
        <v>100</v>
      </c>
      <c r="F104" s="42">
        <v>600</v>
      </c>
    </row>
    <row r="105" spans="1:6" x14ac:dyDescent="0.3">
      <c r="A105" s="42">
        <v>1040</v>
      </c>
      <c r="B105" s="58" t="s">
        <v>82</v>
      </c>
      <c r="C105" s="42" t="s">
        <v>44</v>
      </c>
      <c r="D105" s="42">
        <v>10</v>
      </c>
      <c r="E105" s="42">
        <v>20</v>
      </c>
      <c r="F105" s="42">
        <v>200</v>
      </c>
    </row>
    <row r="106" spans="1:6" x14ac:dyDescent="0.3">
      <c r="A106" s="42">
        <v>1048</v>
      </c>
      <c r="B106" s="58" t="s">
        <v>90</v>
      </c>
      <c r="C106" s="42" t="s">
        <v>44</v>
      </c>
      <c r="D106" s="42">
        <v>1</v>
      </c>
      <c r="E106" s="42">
        <v>250</v>
      </c>
      <c r="F106" s="42">
        <v>250</v>
      </c>
    </row>
    <row r="107" spans="1:6" x14ac:dyDescent="0.3">
      <c r="A107" s="42">
        <v>1102</v>
      </c>
      <c r="B107" s="58" t="s">
        <v>112</v>
      </c>
      <c r="C107" s="42" t="s">
        <v>111</v>
      </c>
      <c r="D107" s="42">
        <v>2</v>
      </c>
      <c r="E107" s="42">
        <v>80</v>
      </c>
      <c r="F107" s="42">
        <v>160</v>
      </c>
    </row>
    <row r="108" spans="1:6" x14ac:dyDescent="0.3">
      <c r="A108" s="42">
        <v>1106</v>
      </c>
      <c r="B108" s="58" t="s">
        <v>116</v>
      </c>
      <c r="C108" s="42" t="s">
        <v>111</v>
      </c>
      <c r="D108" s="42">
        <v>2</v>
      </c>
      <c r="E108" s="42">
        <v>45</v>
      </c>
      <c r="F108" s="42">
        <v>90</v>
      </c>
    </row>
    <row r="109" spans="1:6" x14ac:dyDescent="0.3">
      <c r="A109" s="42">
        <v>1108</v>
      </c>
      <c r="B109" s="58" t="s">
        <v>118</v>
      </c>
      <c r="C109" s="42" t="s">
        <v>111</v>
      </c>
      <c r="D109" s="42">
        <v>3</v>
      </c>
      <c r="E109" s="42">
        <v>5</v>
      </c>
      <c r="F109" s="42">
        <v>15</v>
      </c>
    </row>
    <row r="110" spans="1:6" x14ac:dyDescent="0.3">
      <c r="A110" s="42">
        <v>1114</v>
      </c>
      <c r="B110" s="58" t="s">
        <v>124</v>
      </c>
      <c r="C110" s="42" t="s">
        <v>111</v>
      </c>
      <c r="D110" s="42">
        <v>1</v>
      </c>
      <c r="E110" s="42">
        <v>450</v>
      </c>
      <c r="F110" s="42">
        <v>450</v>
      </c>
    </row>
    <row r="111" spans="1:6" x14ac:dyDescent="0.3">
      <c r="A111" s="42"/>
      <c r="B111" s="58">
        <v>44738.520841203703</v>
      </c>
      <c r="C111" s="42" t="s">
        <v>3</v>
      </c>
      <c r="D111" s="42"/>
      <c r="E111" s="42"/>
      <c r="F111" s="42">
        <v>1112</v>
      </c>
    </row>
    <row r="112" spans="1:6" x14ac:dyDescent="0.3">
      <c r="A112" s="42" t="s">
        <v>5</v>
      </c>
      <c r="B112" s="58" t="s">
        <v>6</v>
      </c>
      <c r="C112" s="42" t="s">
        <v>7</v>
      </c>
      <c r="D112" s="42" t="s">
        <v>8</v>
      </c>
      <c r="E112" s="42" t="s">
        <v>9</v>
      </c>
      <c r="F112" s="42" t="s">
        <v>10</v>
      </c>
    </row>
    <row r="113" spans="1:6" x14ac:dyDescent="0.3">
      <c r="A113" s="42">
        <v>1021</v>
      </c>
      <c r="B113" s="58" t="s">
        <v>64</v>
      </c>
      <c r="C113" s="42" t="s">
        <v>44</v>
      </c>
      <c r="D113" s="42">
        <v>5</v>
      </c>
      <c r="E113" s="42">
        <v>170</v>
      </c>
      <c r="F113" s="42">
        <v>850</v>
      </c>
    </row>
    <row r="114" spans="1:6" x14ac:dyDescent="0.3">
      <c r="A114" s="42">
        <v>1030</v>
      </c>
      <c r="B114" s="58" t="s">
        <v>71</v>
      </c>
      <c r="C114" s="42" t="s">
        <v>44</v>
      </c>
      <c r="D114" s="42">
        <v>10</v>
      </c>
      <c r="E114" s="42">
        <v>100</v>
      </c>
      <c r="F114" s="42">
        <v>1000</v>
      </c>
    </row>
    <row r="115" spans="1:6" x14ac:dyDescent="0.3">
      <c r="A115" s="42">
        <v>1040</v>
      </c>
      <c r="B115" s="58" t="s">
        <v>82</v>
      </c>
      <c r="C115" s="42" t="s">
        <v>44</v>
      </c>
      <c r="D115" s="42">
        <v>15</v>
      </c>
      <c r="E115" s="42">
        <v>20</v>
      </c>
      <c r="F115" s="42">
        <v>300</v>
      </c>
    </row>
    <row r="116" spans="1:6" x14ac:dyDescent="0.3">
      <c r="A116" s="42">
        <v>1113</v>
      </c>
      <c r="B116" s="58" t="s">
        <v>123</v>
      </c>
      <c r="C116" s="42" t="s">
        <v>111</v>
      </c>
      <c r="D116" s="42">
        <v>2</v>
      </c>
      <c r="E116" s="42">
        <v>1000</v>
      </c>
      <c r="F116" s="42">
        <v>2000</v>
      </c>
    </row>
    <row r="117" spans="1:6" x14ac:dyDescent="0.3">
      <c r="A117" s="42"/>
      <c r="B117" s="58">
        <v>44738.523791319443</v>
      </c>
      <c r="C117" s="42" t="s">
        <v>3</v>
      </c>
      <c r="D117" s="42"/>
      <c r="E117" s="42"/>
      <c r="F117" s="42">
        <v>1113</v>
      </c>
    </row>
    <row r="118" spans="1:6" x14ac:dyDescent="0.3">
      <c r="A118" s="42" t="s">
        <v>5</v>
      </c>
      <c r="B118" s="58" t="s">
        <v>6</v>
      </c>
      <c r="C118" s="42" t="s">
        <v>7</v>
      </c>
      <c r="D118" s="42" t="s">
        <v>8</v>
      </c>
      <c r="E118" s="42" t="s">
        <v>9</v>
      </c>
      <c r="F118" s="42" t="s">
        <v>10</v>
      </c>
    </row>
    <row r="119" spans="1:6" x14ac:dyDescent="0.3">
      <c r="A119" s="42">
        <v>1030</v>
      </c>
      <c r="B119" s="58" t="s">
        <v>71</v>
      </c>
      <c r="C119" s="42" t="s">
        <v>44</v>
      </c>
      <c r="D119" s="42">
        <v>25</v>
      </c>
      <c r="E119" s="42">
        <v>100</v>
      </c>
      <c r="F119" s="42">
        <v>2500</v>
      </c>
    </row>
    <row r="120" spans="1:6" x14ac:dyDescent="0.3">
      <c r="A120" s="42">
        <v>1040</v>
      </c>
      <c r="B120" s="58" t="s">
        <v>82</v>
      </c>
      <c r="C120" s="42" t="s">
        <v>44</v>
      </c>
      <c r="D120" s="42">
        <v>10</v>
      </c>
      <c r="E120" s="42">
        <v>20</v>
      </c>
      <c r="F120" s="42">
        <v>200</v>
      </c>
    </row>
    <row r="121" spans="1:6" x14ac:dyDescent="0.3">
      <c r="A121" s="42">
        <v>1113</v>
      </c>
      <c r="B121" s="58" t="s">
        <v>123</v>
      </c>
      <c r="C121" s="42" t="s">
        <v>111</v>
      </c>
      <c r="D121" s="42">
        <v>2</v>
      </c>
      <c r="E121" s="42">
        <v>1000</v>
      </c>
      <c r="F121" s="42">
        <v>2000</v>
      </c>
    </row>
    <row r="122" spans="1:6" x14ac:dyDescent="0.3">
      <c r="A122" s="42">
        <v>1201</v>
      </c>
      <c r="B122" s="58" t="s">
        <v>147</v>
      </c>
      <c r="C122" s="42" t="s">
        <v>111</v>
      </c>
      <c r="D122" s="42">
        <v>1</v>
      </c>
      <c r="E122" s="42">
        <v>3000</v>
      </c>
      <c r="F122" s="42">
        <v>3000</v>
      </c>
    </row>
    <row r="123" spans="1:6" x14ac:dyDescent="0.3">
      <c r="A123" s="42"/>
      <c r="B123" s="58">
        <v>44738.613237268517</v>
      </c>
      <c r="C123" s="42" t="s">
        <v>3</v>
      </c>
      <c r="D123" s="42"/>
      <c r="E123" s="42"/>
      <c r="F123" s="42">
        <v>1114</v>
      </c>
    </row>
    <row r="124" spans="1:6" x14ac:dyDescent="0.3">
      <c r="A124" s="42" t="s">
        <v>5</v>
      </c>
      <c r="B124" s="58" t="s">
        <v>6</v>
      </c>
      <c r="C124" s="42" t="s">
        <v>7</v>
      </c>
      <c r="D124" s="42" t="s">
        <v>8</v>
      </c>
      <c r="E124" s="42" t="s">
        <v>9</v>
      </c>
      <c r="F124" s="42" t="s">
        <v>10</v>
      </c>
    </row>
    <row r="125" spans="1:6" x14ac:dyDescent="0.3">
      <c r="A125" s="42">
        <v>1002</v>
      </c>
      <c r="B125" s="58" t="s">
        <v>45</v>
      </c>
      <c r="C125" s="42" t="s">
        <v>44</v>
      </c>
      <c r="D125" s="42">
        <v>2</v>
      </c>
      <c r="E125" s="42">
        <v>750</v>
      </c>
      <c r="F125" s="42">
        <v>1500</v>
      </c>
    </row>
    <row r="126" spans="1:6" x14ac:dyDescent="0.3">
      <c r="A126" s="42">
        <v>1003</v>
      </c>
      <c r="B126" s="58" t="s">
        <v>46</v>
      </c>
      <c r="C126" s="42" t="s">
        <v>44</v>
      </c>
      <c r="D126" s="42">
        <v>1</v>
      </c>
      <c r="E126" s="42">
        <v>2000</v>
      </c>
      <c r="F126" s="42">
        <v>2000</v>
      </c>
    </row>
    <row r="127" spans="1:6" x14ac:dyDescent="0.3">
      <c r="A127" s="42">
        <v>1007</v>
      </c>
      <c r="B127" s="58" t="s">
        <v>50</v>
      </c>
      <c r="C127" s="42" t="s">
        <v>44</v>
      </c>
      <c r="D127" s="42">
        <v>1</v>
      </c>
      <c r="E127" s="42">
        <v>2860</v>
      </c>
      <c r="F127" s="42">
        <v>2860</v>
      </c>
    </row>
    <row r="128" spans="1:6" x14ac:dyDescent="0.3">
      <c r="A128" s="42">
        <v>1019</v>
      </c>
      <c r="B128" s="58" t="s">
        <v>62</v>
      </c>
      <c r="C128" s="42" t="s">
        <v>44</v>
      </c>
      <c r="D128" s="42">
        <v>1</v>
      </c>
      <c r="E128" s="42">
        <v>800</v>
      </c>
      <c r="F128" s="42">
        <v>800</v>
      </c>
    </row>
    <row r="129" spans="1:6" x14ac:dyDescent="0.3">
      <c r="A129" s="42">
        <v>1026</v>
      </c>
      <c r="B129" s="58" t="s">
        <v>67</v>
      </c>
      <c r="C129" s="42" t="s">
        <v>44</v>
      </c>
      <c r="D129" s="42">
        <v>10</v>
      </c>
      <c r="E129" s="42">
        <v>60</v>
      </c>
      <c r="F129" s="42">
        <v>600</v>
      </c>
    </row>
    <row r="130" spans="1:6" x14ac:dyDescent="0.3">
      <c r="A130" s="42">
        <v>1030</v>
      </c>
      <c r="B130" s="58" t="s">
        <v>71</v>
      </c>
      <c r="C130" s="42" t="s">
        <v>44</v>
      </c>
      <c r="D130" s="42">
        <v>20</v>
      </c>
      <c r="E130" s="42">
        <v>100</v>
      </c>
      <c r="F130" s="42">
        <v>2000</v>
      </c>
    </row>
    <row r="131" spans="1:6" x14ac:dyDescent="0.3">
      <c r="A131" s="42">
        <v>1035</v>
      </c>
      <c r="B131" s="58" t="s">
        <v>76</v>
      </c>
      <c r="C131" s="42" t="s">
        <v>44</v>
      </c>
      <c r="D131" s="42">
        <v>1</v>
      </c>
      <c r="E131" s="42">
        <v>110</v>
      </c>
      <c r="F131" s="42">
        <v>110</v>
      </c>
    </row>
    <row r="132" spans="1:6" x14ac:dyDescent="0.3">
      <c r="A132" s="42">
        <v>1036</v>
      </c>
      <c r="B132" s="58" t="s">
        <v>77</v>
      </c>
      <c r="C132" s="42" t="s">
        <v>44</v>
      </c>
      <c r="D132" s="42">
        <v>6</v>
      </c>
      <c r="E132" s="42">
        <v>10</v>
      </c>
      <c r="F132" s="42">
        <v>60</v>
      </c>
    </row>
    <row r="133" spans="1:6" x14ac:dyDescent="0.3">
      <c r="A133" s="42">
        <v>1037</v>
      </c>
      <c r="B133" s="58" t="s">
        <v>78</v>
      </c>
      <c r="C133" s="42" t="s">
        <v>79</v>
      </c>
      <c r="D133" s="42">
        <v>6</v>
      </c>
      <c r="E133" s="42">
        <v>50</v>
      </c>
      <c r="F133" s="42">
        <v>300</v>
      </c>
    </row>
    <row r="134" spans="1:6" x14ac:dyDescent="0.3">
      <c r="A134" s="42">
        <v>1053</v>
      </c>
      <c r="B134" s="58" t="s">
        <v>95</v>
      </c>
      <c r="C134" s="42" t="s">
        <v>44</v>
      </c>
      <c r="D134" s="42">
        <v>3</v>
      </c>
      <c r="E134" s="42">
        <v>150</v>
      </c>
      <c r="F134" s="42">
        <v>450</v>
      </c>
    </row>
    <row r="135" spans="1:6" x14ac:dyDescent="0.3">
      <c r="A135" s="42">
        <v>1113</v>
      </c>
      <c r="B135" s="58" t="s">
        <v>123</v>
      </c>
      <c r="C135" s="42" t="s">
        <v>111</v>
      </c>
      <c r="D135" s="42">
        <v>3</v>
      </c>
      <c r="E135" s="42">
        <v>1000</v>
      </c>
      <c r="F135" s="42">
        <v>3000</v>
      </c>
    </row>
    <row r="136" spans="1:6" x14ac:dyDescent="0.3">
      <c r="A136" s="42">
        <v>1126</v>
      </c>
      <c r="B136" s="58" t="s">
        <v>137</v>
      </c>
      <c r="C136" s="42" t="s">
        <v>111</v>
      </c>
      <c r="D136" s="42">
        <v>1</v>
      </c>
      <c r="E136" s="42">
        <v>440</v>
      </c>
      <c r="F136" s="42">
        <v>440</v>
      </c>
    </row>
    <row r="137" spans="1:6" x14ac:dyDescent="0.3">
      <c r="A137" s="42">
        <v>1129</v>
      </c>
      <c r="B137" s="58" t="s">
        <v>140</v>
      </c>
      <c r="C137" s="42" t="s">
        <v>111</v>
      </c>
      <c r="D137" s="42">
        <v>2</v>
      </c>
      <c r="E137" s="42">
        <v>125</v>
      </c>
      <c r="F137" s="42">
        <v>250</v>
      </c>
    </row>
    <row r="138" spans="1:6" x14ac:dyDescent="0.3">
      <c r="A138" s="42">
        <v>1421</v>
      </c>
      <c r="B138" s="58" t="s">
        <v>194</v>
      </c>
      <c r="C138" s="42" t="s">
        <v>111</v>
      </c>
      <c r="D138" s="42">
        <v>1</v>
      </c>
      <c r="E138" s="42">
        <v>150</v>
      </c>
      <c r="F138" s="42">
        <v>150</v>
      </c>
    </row>
    <row r="139" spans="1:6" x14ac:dyDescent="0.3">
      <c r="A139" s="42">
        <v>1120</v>
      </c>
      <c r="B139" s="58" t="s">
        <v>130</v>
      </c>
      <c r="C139" s="42" t="s">
        <v>111</v>
      </c>
      <c r="D139" s="42">
        <v>1</v>
      </c>
      <c r="E139" s="42">
        <v>25000</v>
      </c>
      <c r="F139" s="42">
        <v>25000</v>
      </c>
    </row>
    <row r="140" spans="1:6" x14ac:dyDescent="0.3">
      <c r="A140" s="42"/>
      <c r="B140" s="58">
        <v>44738.637505324077</v>
      </c>
      <c r="C140" s="42" t="s">
        <v>3</v>
      </c>
      <c r="D140" s="42"/>
      <c r="E140" s="42"/>
      <c r="F140" s="42">
        <v>1115</v>
      </c>
    </row>
    <row r="141" spans="1:6" x14ac:dyDescent="0.3">
      <c r="A141" s="42" t="s">
        <v>5</v>
      </c>
      <c r="B141" s="58" t="s">
        <v>6</v>
      </c>
      <c r="C141" s="42" t="s">
        <v>7</v>
      </c>
      <c r="D141" s="42" t="s">
        <v>8</v>
      </c>
      <c r="E141" s="42" t="s">
        <v>9</v>
      </c>
      <c r="F141" s="42" t="s">
        <v>10</v>
      </c>
    </row>
    <row r="142" spans="1:6" x14ac:dyDescent="0.3">
      <c r="A142" s="42">
        <v>1002</v>
      </c>
      <c r="B142" s="58" t="s">
        <v>45</v>
      </c>
      <c r="C142" s="42" t="s">
        <v>44</v>
      </c>
      <c r="D142" s="42">
        <v>4</v>
      </c>
      <c r="E142" s="42">
        <v>750</v>
      </c>
      <c r="F142" s="42">
        <v>3000</v>
      </c>
    </row>
    <row r="143" spans="1:6" x14ac:dyDescent="0.3">
      <c r="A143" s="42">
        <v>1004</v>
      </c>
      <c r="B143" s="58" t="s">
        <v>47</v>
      </c>
      <c r="C143" s="42" t="s">
        <v>44</v>
      </c>
      <c r="D143" s="42">
        <v>1</v>
      </c>
      <c r="E143" s="42">
        <v>6000</v>
      </c>
      <c r="F143" s="42">
        <v>6000</v>
      </c>
    </row>
    <row r="144" spans="1:6" x14ac:dyDescent="0.3">
      <c r="A144" s="42">
        <v>1024</v>
      </c>
      <c r="B144" s="58" t="s">
        <v>13</v>
      </c>
      <c r="C144" s="42" t="s">
        <v>44</v>
      </c>
      <c r="D144" s="42">
        <v>3</v>
      </c>
      <c r="E144" s="42">
        <v>100</v>
      </c>
      <c r="F144" s="42">
        <v>300</v>
      </c>
    </row>
    <row r="145" spans="1:6" x14ac:dyDescent="0.3">
      <c r="A145" s="42">
        <v>1026</v>
      </c>
      <c r="B145" s="58" t="s">
        <v>67</v>
      </c>
      <c r="C145" s="42" t="s">
        <v>44</v>
      </c>
      <c r="D145" s="42">
        <v>7</v>
      </c>
      <c r="E145" s="42">
        <v>60</v>
      </c>
      <c r="F145" s="42">
        <v>420</v>
      </c>
    </row>
    <row r="146" spans="1:6" x14ac:dyDescent="0.3">
      <c r="A146" s="42">
        <v>1027</v>
      </c>
      <c r="B146" s="58" t="s">
        <v>68</v>
      </c>
      <c r="C146" s="42" t="s">
        <v>44</v>
      </c>
      <c r="D146" s="42">
        <v>7</v>
      </c>
      <c r="E146" s="42">
        <v>20</v>
      </c>
      <c r="F146" s="42">
        <v>140</v>
      </c>
    </row>
    <row r="147" spans="1:6" x14ac:dyDescent="0.3">
      <c r="A147" s="42">
        <v>1029</v>
      </c>
      <c r="B147" s="58" t="s">
        <v>70</v>
      </c>
      <c r="C147" s="42" t="s">
        <v>44</v>
      </c>
      <c r="D147" s="42">
        <v>1</v>
      </c>
      <c r="E147" s="42">
        <v>40</v>
      </c>
      <c r="F147" s="42">
        <v>40</v>
      </c>
    </row>
    <row r="148" spans="1:6" x14ac:dyDescent="0.3">
      <c r="A148" s="42">
        <v>1030</v>
      </c>
      <c r="B148" s="58" t="s">
        <v>71</v>
      </c>
      <c r="C148" s="42" t="s">
        <v>44</v>
      </c>
      <c r="D148" s="42">
        <v>25</v>
      </c>
      <c r="E148" s="42">
        <v>100</v>
      </c>
      <c r="F148" s="42">
        <v>2500</v>
      </c>
    </row>
    <row r="149" spans="1:6" x14ac:dyDescent="0.3">
      <c r="A149" s="42">
        <v>1033</v>
      </c>
      <c r="B149" s="58" t="s">
        <v>74</v>
      </c>
      <c r="C149" s="42" t="s">
        <v>44</v>
      </c>
      <c r="D149" s="42">
        <v>3</v>
      </c>
      <c r="E149" s="42">
        <v>180</v>
      </c>
      <c r="F149" s="42">
        <v>540</v>
      </c>
    </row>
    <row r="150" spans="1:6" x14ac:dyDescent="0.3">
      <c r="A150" s="42">
        <v>1034</v>
      </c>
      <c r="B150" s="58" t="s">
        <v>75</v>
      </c>
      <c r="C150" s="42" t="s">
        <v>44</v>
      </c>
      <c r="D150" s="42">
        <v>3</v>
      </c>
      <c r="E150" s="42">
        <v>120</v>
      </c>
      <c r="F150" s="42">
        <v>360</v>
      </c>
    </row>
    <row r="151" spans="1:6" x14ac:dyDescent="0.3">
      <c r="A151" s="42">
        <v>1048</v>
      </c>
      <c r="B151" s="58" t="s">
        <v>90</v>
      </c>
      <c r="C151" s="42" t="s">
        <v>44</v>
      </c>
      <c r="D151" s="42">
        <v>2</v>
      </c>
      <c r="E151" s="42">
        <v>250</v>
      </c>
      <c r="F151" s="42">
        <v>500</v>
      </c>
    </row>
    <row r="152" spans="1:6" x14ac:dyDescent="0.3">
      <c r="A152" s="42">
        <v>1049</v>
      </c>
      <c r="B152" s="58" t="s">
        <v>91</v>
      </c>
      <c r="C152" s="42" t="s">
        <v>44</v>
      </c>
      <c r="D152" s="42">
        <v>2</v>
      </c>
      <c r="E152" s="42">
        <v>350</v>
      </c>
      <c r="F152" s="42">
        <v>700</v>
      </c>
    </row>
    <row r="153" spans="1:6" x14ac:dyDescent="0.3">
      <c r="A153" s="42">
        <v>1104</v>
      </c>
      <c r="B153" s="58" t="s">
        <v>114</v>
      </c>
      <c r="C153" s="42" t="s">
        <v>111</v>
      </c>
      <c r="D153" s="42">
        <v>2</v>
      </c>
      <c r="E153" s="42">
        <v>30</v>
      </c>
      <c r="F153" s="42">
        <v>60</v>
      </c>
    </row>
    <row r="154" spans="1:6" x14ac:dyDescent="0.3">
      <c r="A154" s="42">
        <v>1106</v>
      </c>
      <c r="B154" s="58" t="s">
        <v>116</v>
      </c>
      <c r="C154" s="42" t="s">
        <v>111</v>
      </c>
      <c r="D154" s="42">
        <v>5</v>
      </c>
      <c r="E154" s="42">
        <v>45</v>
      </c>
      <c r="F154" s="42">
        <v>225</v>
      </c>
    </row>
    <row r="155" spans="1:6" x14ac:dyDescent="0.3">
      <c r="A155" s="42">
        <v>1108</v>
      </c>
      <c r="B155" s="58" t="s">
        <v>118</v>
      </c>
      <c r="C155" s="42" t="s">
        <v>111</v>
      </c>
      <c r="D155" s="42">
        <v>5</v>
      </c>
      <c r="E155" s="42">
        <v>5</v>
      </c>
      <c r="F155" s="42">
        <v>25</v>
      </c>
    </row>
    <row r="156" spans="1:6" x14ac:dyDescent="0.3">
      <c r="A156" s="42">
        <v>1113</v>
      </c>
      <c r="B156" s="58" t="s">
        <v>123</v>
      </c>
      <c r="C156" s="42" t="s">
        <v>111</v>
      </c>
      <c r="D156" s="42">
        <v>3</v>
      </c>
      <c r="E156" s="42">
        <v>1000</v>
      </c>
      <c r="F156" s="42">
        <v>3000</v>
      </c>
    </row>
    <row r="157" spans="1:6" x14ac:dyDescent="0.3">
      <c r="A157" s="42">
        <v>1114</v>
      </c>
      <c r="B157" s="58" t="s">
        <v>124</v>
      </c>
      <c r="C157" s="42" t="s">
        <v>111</v>
      </c>
      <c r="D157" s="42">
        <v>2</v>
      </c>
      <c r="E157" s="42">
        <v>450</v>
      </c>
      <c r="F157" s="42">
        <v>900</v>
      </c>
    </row>
    <row r="158" spans="1:6" x14ac:dyDescent="0.3">
      <c r="A158" s="42">
        <v>1201</v>
      </c>
      <c r="B158" s="58" t="s">
        <v>147</v>
      </c>
      <c r="C158" s="42" t="s">
        <v>111</v>
      </c>
      <c r="D158" s="42">
        <v>1</v>
      </c>
      <c r="E158" s="42">
        <v>3000</v>
      </c>
      <c r="F158" s="42">
        <v>3000</v>
      </c>
    </row>
    <row r="159" spans="1:6" x14ac:dyDescent="0.3">
      <c r="A159" s="42"/>
      <c r="B159" s="58">
        <v>44738.639502314814</v>
      </c>
      <c r="C159" s="42" t="s">
        <v>3</v>
      </c>
      <c r="D159" s="42"/>
      <c r="E159" s="42"/>
      <c r="F159" s="42">
        <v>1116</v>
      </c>
    </row>
    <row r="160" spans="1:6" x14ac:dyDescent="0.3">
      <c r="A160" s="42" t="s">
        <v>5</v>
      </c>
      <c r="B160" s="58" t="s">
        <v>6</v>
      </c>
      <c r="C160" s="42" t="s">
        <v>7</v>
      </c>
      <c r="D160" s="42" t="s">
        <v>8</v>
      </c>
      <c r="E160" s="42" t="s">
        <v>9</v>
      </c>
      <c r="F160" s="42" t="s">
        <v>10</v>
      </c>
    </row>
    <row r="161" spans="1:6" x14ac:dyDescent="0.3">
      <c r="A161" s="42">
        <v>1002</v>
      </c>
      <c r="B161" s="58" t="s">
        <v>45</v>
      </c>
      <c r="C161" s="42" t="s">
        <v>44</v>
      </c>
      <c r="D161" s="42">
        <v>3</v>
      </c>
      <c r="E161" s="42">
        <v>750</v>
      </c>
      <c r="F161" s="42">
        <v>2250</v>
      </c>
    </row>
    <row r="162" spans="1:6" x14ac:dyDescent="0.3">
      <c r="A162" s="42">
        <v>1021</v>
      </c>
      <c r="B162" s="58" t="s">
        <v>64</v>
      </c>
      <c r="C162" s="42" t="s">
        <v>44</v>
      </c>
      <c r="D162" s="42">
        <v>15</v>
      </c>
      <c r="E162" s="42">
        <v>170</v>
      </c>
      <c r="F162" s="42">
        <v>2550</v>
      </c>
    </row>
    <row r="163" spans="1:6" x14ac:dyDescent="0.3">
      <c r="A163" s="42">
        <v>1030</v>
      </c>
      <c r="B163" s="58" t="s">
        <v>71</v>
      </c>
      <c r="C163" s="42" t="s">
        <v>44</v>
      </c>
      <c r="D163" s="42">
        <v>20</v>
      </c>
      <c r="E163" s="42">
        <v>100</v>
      </c>
      <c r="F163" s="42">
        <v>2000</v>
      </c>
    </row>
    <row r="164" spans="1:6" x14ac:dyDescent="0.3">
      <c r="A164" s="42">
        <v>1049</v>
      </c>
      <c r="B164" s="58" t="s">
        <v>91</v>
      </c>
      <c r="C164" s="42" t="s">
        <v>44</v>
      </c>
      <c r="D164" s="42">
        <v>1</v>
      </c>
      <c r="E164" s="42">
        <v>350</v>
      </c>
      <c r="F164" s="42">
        <v>350</v>
      </c>
    </row>
    <row r="165" spans="1:6" x14ac:dyDescent="0.3">
      <c r="A165" s="42">
        <v>1113</v>
      </c>
      <c r="B165" s="58" t="s">
        <v>123</v>
      </c>
      <c r="C165" s="42" t="s">
        <v>111</v>
      </c>
      <c r="D165" s="42">
        <v>3</v>
      </c>
      <c r="E165" s="42">
        <v>1000</v>
      </c>
      <c r="F165" s="42">
        <v>3000</v>
      </c>
    </row>
    <row r="166" spans="1:6" x14ac:dyDescent="0.3">
      <c r="A166" s="42"/>
      <c r="B166" s="58">
        <v>44738.640229745368</v>
      </c>
      <c r="C166" s="42" t="s">
        <v>3</v>
      </c>
      <c r="D166" s="42"/>
      <c r="E166" s="42"/>
      <c r="F166" s="42">
        <v>1117</v>
      </c>
    </row>
    <row r="167" spans="1:6" x14ac:dyDescent="0.3">
      <c r="A167" s="42" t="s">
        <v>5</v>
      </c>
      <c r="B167" s="58" t="s">
        <v>6</v>
      </c>
      <c r="C167" s="42" t="s">
        <v>7</v>
      </c>
      <c r="D167" s="42" t="s">
        <v>8</v>
      </c>
      <c r="E167" s="42" t="s">
        <v>9</v>
      </c>
      <c r="F167" s="42" t="s">
        <v>10</v>
      </c>
    </row>
    <row r="168" spans="1:6" x14ac:dyDescent="0.3">
      <c r="A168" s="42">
        <v>1113</v>
      </c>
      <c r="B168" s="58" t="s">
        <v>123</v>
      </c>
      <c r="C168" s="42" t="s">
        <v>111</v>
      </c>
      <c r="D168" s="42">
        <v>2</v>
      </c>
      <c r="E168" s="42">
        <v>1000</v>
      </c>
      <c r="F168" s="42">
        <v>2000</v>
      </c>
    </row>
    <row r="169" spans="1:6" x14ac:dyDescent="0.3">
      <c r="A169" s="42">
        <v>1132</v>
      </c>
      <c r="B169" s="58" t="s">
        <v>143</v>
      </c>
      <c r="C169" s="42" t="s">
        <v>111</v>
      </c>
      <c r="D169" s="42">
        <v>1</v>
      </c>
      <c r="E169" s="42">
        <v>150</v>
      </c>
      <c r="F169" s="42">
        <v>150</v>
      </c>
    </row>
    <row r="170" spans="1:6" x14ac:dyDescent="0.3">
      <c r="A170" s="42"/>
      <c r="B170" s="58">
        <v>44738.641790624999</v>
      </c>
      <c r="C170" s="42" t="s">
        <v>3</v>
      </c>
      <c r="D170" s="42"/>
      <c r="E170" s="42"/>
      <c r="F170" s="42">
        <v>1118</v>
      </c>
    </row>
    <row r="171" spans="1:6" x14ac:dyDescent="0.3">
      <c r="A171" s="42" t="s">
        <v>5</v>
      </c>
      <c r="B171" s="58" t="s">
        <v>6</v>
      </c>
      <c r="C171" s="42" t="s">
        <v>7</v>
      </c>
      <c r="D171" s="42" t="s">
        <v>8</v>
      </c>
      <c r="E171" s="42" t="s">
        <v>9</v>
      </c>
      <c r="F171" s="42" t="s">
        <v>10</v>
      </c>
    </row>
    <row r="172" spans="1:6" x14ac:dyDescent="0.3">
      <c r="A172" s="42">
        <v>1021</v>
      </c>
      <c r="B172" s="58" t="s">
        <v>64</v>
      </c>
      <c r="C172" s="42" t="s">
        <v>44</v>
      </c>
      <c r="D172" s="42">
        <v>6</v>
      </c>
      <c r="E172" s="42">
        <v>170</v>
      </c>
      <c r="F172" s="42">
        <v>1020</v>
      </c>
    </row>
    <row r="173" spans="1:6" x14ac:dyDescent="0.3">
      <c r="A173" s="42">
        <v>1030</v>
      </c>
      <c r="B173" s="58" t="s">
        <v>71</v>
      </c>
      <c r="C173" s="42" t="s">
        <v>44</v>
      </c>
      <c r="D173" s="42">
        <v>25</v>
      </c>
      <c r="E173" s="42">
        <v>100</v>
      </c>
      <c r="F173" s="42">
        <v>2500</v>
      </c>
    </row>
    <row r="174" spans="1:6" x14ac:dyDescent="0.3">
      <c r="A174" s="42">
        <v>1113</v>
      </c>
      <c r="B174" s="58" t="s">
        <v>123</v>
      </c>
      <c r="C174" s="42" t="s">
        <v>111</v>
      </c>
      <c r="D174" s="42">
        <v>3</v>
      </c>
      <c r="E174" s="42">
        <v>1000</v>
      </c>
      <c r="F174" s="42">
        <v>3000</v>
      </c>
    </row>
    <row r="175" spans="1:6" x14ac:dyDescent="0.3">
      <c r="A175" s="42">
        <v>1134</v>
      </c>
      <c r="B175" s="58" t="s">
        <v>145</v>
      </c>
      <c r="C175" s="42" t="s">
        <v>111</v>
      </c>
      <c r="D175" s="42">
        <v>1</v>
      </c>
      <c r="E175" s="42">
        <v>150</v>
      </c>
      <c r="F175" s="42">
        <v>150</v>
      </c>
    </row>
    <row r="176" spans="1:6" x14ac:dyDescent="0.3">
      <c r="A176" s="42">
        <v>1201</v>
      </c>
      <c r="B176" s="58" t="s">
        <v>147</v>
      </c>
      <c r="C176" s="42" t="s">
        <v>111</v>
      </c>
      <c r="D176" s="42">
        <v>1</v>
      </c>
      <c r="E176" s="42">
        <v>3000</v>
      </c>
      <c r="F176" s="42">
        <v>3000</v>
      </c>
    </row>
    <row r="177" spans="1:6" x14ac:dyDescent="0.3">
      <c r="A177" s="42"/>
      <c r="B177" s="58">
        <v>44738.645384606483</v>
      </c>
      <c r="C177" s="42" t="s">
        <v>3</v>
      </c>
      <c r="D177" s="42"/>
      <c r="E177" s="42"/>
      <c r="F177" s="42">
        <v>1119</v>
      </c>
    </row>
    <row r="178" spans="1:6" x14ac:dyDescent="0.3">
      <c r="A178" s="42" t="s">
        <v>5</v>
      </c>
      <c r="B178" s="58" t="s">
        <v>6</v>
      </c>
      <c r="C178" s="42" t="s">
        <v>7</v>
      </c>
      <c r="D178" s="42" t="s">
        <v>8</v>
      </c>
      <c r="E178" s="42" t="s">
        <v>9</v>
      </c>
      <c r="F178" s="42" t="s">
        <v>10</v>
      </c>
    </row>
    <row r="179" spans="1:6" x14ac:dyDescent="0.3">
      <c r="A179" s="42">
        <v>1012</v>
      </c>
      <c r="B179" s="58" t="s">
        <v>55</v>
      </c>
      <c r="C179" s="42" t="s">
        <v>44</v>
      </c>
      <c r="D179" s="42">
        <v>1</v>
      </c>
      <c r="E179" s="42">
        <v>1460</v>
      </c>
      <c r="F179" s="42">
        <v>1460</v>
      </c>
    </row>
    <row r="180" spans="1:6" x14ac:dyDescent="0.3">
      <c r="A180" s="42">
        <v>1021</v>
      </c>
      <c r="B180" s="58" t="s">
        <v>64</v>
      </c>
      <c r="C180" s="42" t="s">
        <v>44</v>
      </c>
      <c r="D180" s="42">
        <v>5</v>
      </c>
      <c r="E180" s="42">
        <v>170</v>
      </c>
      <c r="F180" s="42">
        <v>850</v>
      </c>
    </row>
    <row r="181" spans="1:6" x14ac:dyDescent="0.3">
      <c r="A181" s="42">
        <v>1030</v>
      </c>
      <c r="B181" s="58" t="s">
        <v>71</v>
      </c>
      <c r="C181" s="42" t="s">
        <v>44</v>
      </c>
      <c r="D181" s="42">
        <v>26</v>
      </c>
      <c r="E181" s="42">
        <v>100</v>
      </c>
      <c r="F181" s="42">
        <v>2600</v>
      </c>
    </row>
    <row r="182" spans="1:6" x14ac:dyDescent="0.3">
      <c r="A182" s="42">
        <v>1036</v>
      </c>
      <c r="B182" s="58" t="s">
        <v>77</v>
      </c>
      <c r="C182" s="42" t="s">
        <v>44</v>
      </c>
      <c r="D182" s="42">
        <v>9</v>
      </c>
      <c r="E182" s="42">
        <v>10</v>
      </c>
      <c r="F182" s="42">
        <v>90</v>
      </c>
    </row>
    <row r="183" spans="1:6" x14ac:dyDescent="0.3">
      <c r="A183" s="42">
        <v>1056</v>
      </c>
      <c r="B183" s="58" t="s">
        <v>98</v>
      </c>
      <c r="C183" s="42" t="s">
        <v>44</v>
      </c>
      <c r="D183" s="42">
        <v>12</v>
      </c>
      <c r="E183" s="42">
        <v>5</v>
      </c>
      <c r="F183" s="42">
        <v>60</v>
      </c>
    </row>
    <row r="184" spans="1:6" x14ac:dyDescent="0.3">
      <c r="A184" s="42">
        <v>1060</v>
      </c>
      <c r="B184" s="58" t="s">
        <v>102</v>
      </c>
      <c r="C184" s="42" t="s">
        <v>44</v>
      </c>
      <c r="D184" s="42">
        <v>2</v>
      </c>
      <c r="E184" s="42">
        <v>20</v>
      </c>
      <c r="F184" s="42">
        <v>40</v>
      </c>
    </row>
    <row r="185" spans="1:6" x14ac:dyDescent="0.3">
      <c r="A185" s="42">
        <v>1106</v>
      </c>
      <c r="B185" s="58" t="s">
        <v>116</v>
      </c>
      <c r="C185" s="42" t="s">
        <v>111</v>
      </c>
      <c r="D185" s="42">
        <v>1</v>
      </c>
      <c r="E185" s="42">
        <v>45</v>
      </c>
      <c r="F185" s="42">
        <v>45</v>
      </c>
    </row>
    <row r="186" spans="1:6" x14ac:dyDescent="0.3">
      <c r="A186" s="42">
        <v>1113</v>
      </c>
      <c r="B186" s="58" t="s">
        <v>123</v>
      </c>
      <c r="C186" s="42" t="s">
        <v>111</v>
      </c>
      <c r="D186" s="42">
        <v>1</v>
      </c>
      <c r="E186" s="42">
        <v>1000</v>
      </c>
      <c r="F186" s="42">
        <v>1000</v>
      </c>
    </row>
    <row r="187" spans="1:6" x14ac:dyDescent="0.3">
      <c r="A187" s="42">
        <v>1114</v>
      </c>
      <c r="B187" s="58" t="s">
        <v>124</v>
      </c>
      <c r="C187" s="42" t="s">
        <v>111</v>
      </c>
      <c r="D187" s="42">
        <v>4</v>
      </c>
      <c r="E187" s="42">
        <v>450</v>
      </c>
      <c r="F187" s="42">
        <v>1800</v>
      </c>
    </row>
    <row r="188" spans="1:6" x14ac:dyDescent="0.3">
      <c r="A188" s="42">
        <v>1115</v>
      </c>
      <c r="B188" s="58" t="s">
        <v>125</v>
      </c>
      <c r="C188" s="42" t="s">
        <v>111</v>
      </c>
      <c r="D188" s="42">
        <v>1</v>
      </c>
      <c r="E188" s="42">
        <v>270</v>
      </c>
      <c r="F188" s="42">
        <v>270</v>
      </c>
    </row>
    <row r="189" spans="1:6" x14ac:dyDescent="0.3">
      <c r="A189" s="42">
        <v>1201</v>
      </c>
      <c r="B189" s="58" t="s">
        <v>147</v>
      </c>
      <c r="C189" s="42" t="s">
        <v>111</v>
      </c>
      <c r="D189" s="42">
        <v>1</v>
      </c>
      <c r="E189" s="42">
        <v>3000</v>
      </c>
      <c r="F189" s="42">
        <v>3000</v>
      </c>
    </row>
    <row r="190" spans="1:6" x14ac:dyDescent="0.3">
      <c r="A190" s="42"/>
      <c r="B190" s="58">
        <v>44738.646932060183</v>
      </c>
      <c r="C190" s="42" t="s">
        <v>3</v>
      </c>
      <c r="D190" s="42"/>
      <c r="E190" s="42"/>
      <c r="F190" s="42">
        <v>1120</v>
      </c>
    </row>
    <row r="191" spans="1:6" x14ac:dyDescent="0.3">
      <c r="A191" s="42" t="s">
        <v>5</v>
      </c>
      <c r="B191" s="58" t="s">
        <v>6</v>
      </c>
      <c r="C191" s="42" t="s">
        <v>7</v>
      </c>
      <c r="D191" s="42" t="s">
        <v>8</v>
      </c>
      <c r="E191" s="42" t="s">
        <v>9</v>
      </c>
      <c r="F191" s="42" t="s">
        <v>10</v>
      </c>
    </row>
    <row r="192" spans="1:6" x14ac:dyDescent="0.3">
      <c r="A192" s="42">
        <v>1030</v>
      </c>
      <c r="B192" s="58" t="s">
        <v>71</v>
      </c>
      <c r="C192" s="42" t="s">
        <v>44</v>
      </c>
      <c r="D192" s="42">
        <v>8</v>
      </c>
      <c r="E192" s="42">
        <v>100</v>
      </c>
      <c r="F192" s="42">
        <v>800</v>
      </c>
    </row>
    <row r="193" spans="1:6" x14ac:dyDescent="0.3">
      <c r="A193" s="42">
        <v>1106</v>
      </c>
      <c r="B193" s="58" t="s">
        <v>116</v>
      </c>
      <c r="C193" s="42" t="s">
        <v>111</v>
      </c>
      <c r="D193" s="42">
        <v>3</v>
      </c>
      <c r="E193" s="42">
        <v>45</v>
      </c>
      <c r="F193" s="42">
        <v>135</v>
      </c>
    </row>
    <row r="194" spans="1:6" x14ac:dyDescent="0.3">
      <c r="A194" s="42">
        <v>1108</v>
      </c>
      <c r="B194" s="58" t="s">
        <v>118</v>
      </c>
      <c r="C194" s="42" t="s">
        <v>111</v>
      </c>
      <c r="D194" s="42">
        <v>5</v>
      </c>
      <c r="E194" s="42">
        <v>5</v>
      </c>
      <c r="F194" s="42">
        <v>25</v>
      </c>
    </row>
    <row r="195" spans="1:6" x14ac:dyDescent="0.3">
      <c r="A195" s="42">
        <v>1113</v>
      </c>
      <c r="B195" s="58" t="s">
        <v>123</v>
      </c>
      <c r="C195" s="42" t="s">
        <v>111</v>
      </c>
      <c r="D195" s="42">
        <v>2</v>
      </c>
      <c r="E195" s="42">
        <v>1000</v>
      </c>
      <c r="F195" s="42">
        <v>2000</v>
      </c>
    </row>
    <row r="196" spans="1:6" x14ac:dyDescent="0.3">
      <c r="A196" s="42"/>
      <c r="B196" s="58">
        <v>44738.648073263888</v>
      </c>
      <c r="C196" s="42" t="s">
        <v>3</v>
      </c>
      <c r="D196" s="42"/>
      <c r="E196" s="42"/>
      <c r="F196" s="42">
        <v>1121</v>
      </c>
    </row>
    <row r="197" spans="1:6" x14ac:dyDescent="0.3">
      <c r="A197" s="42" t="s">
        <v>5</v>
      </c>
      <c r="B197" s="58" t="s">
        <v>6</v>
      </c>
      <c r="C197" s="42" t="s">
        <v>7</v>
      </c>
      <c r="D197" s="42" t="s">
        <v>8</v>
      </c>
      <c r="E197" s="42" t="s">
        <v>9</v>
      </c>
      <c r="F197" s="42" t="s">
        <v>10</v>
      </c>
    </row>
    <row r="198" spans="1:6" x14ac:dyDescent="0.3">
      <c r="A198" s="42">
        <v>1030</v>
      </c>
      <c r="B198" s="58" t="s">
        <v>71</v>
      </c>
      <c r="C198" s="42" t="s">
        <v>44</v>
      </c>
      <c r="D198" s="42">
        <v>10</v>
      </c>
      <c r="E198" s="42">
        <v>100</v>
      </c>
      <c r="F198" s="42">
        <v>1000</v>
      </c>
    </row>
    <row r="199" spans="1:6" x14ac:dyDescent="0.3">
      <c r="A199" s="42">
        <v>1034</v>
      </c>
      <c r="B199" s="58" t="s">
        <v>75</v>
      </c>
      <c r="C199" s="42" t="s">
        <v>44</v>
      </c>
      <c r="D199" s="42">
        <v>2</v>
      </c>
      <c r="E199" s="42">
        <v>120</v>
      </c>
      <c r="F199" s="42">
        <v>240</v>
      </c>
    </row>
    <row r="200" spans="1:6" x14ac:dyDescent="0.3">
      <c r="A200" s="42">
        <v>1033</v>
      </c>
      <c r="B200" s="58" t="s">
        <v>74</v>
      </c>
      <c r="C200" s="42" t="s">
        <v>44</v>
      </c>
      <c r="D200" s="42">
        <v>2</v>
      </c>
      <c r="E200" s="42">
        <v>180</v>
      </c>
      <c r="F200" s="42">
        <v>360</v>
      </c>
    </row>
    <row r="201" spans="1:6" x14ac:dyDescent="0.3">
      <c r="A201" s="42">
        <v>1056</v>
      </c>
      <c r="B201" s="58" t="s">
        <v>98</v>
      </c>
      <c r="C201" s="42" t="s">
        <v>44</v>
      </c>
      <c r="D201" s="42">
        <v>20</v>
      </c>
      <c r="E201" s="42">
        <v>5</v>
      </c>
      <c r="F201" s="42">
        <v>100</v>
      </c>
    </row>
    <row r="202" spans="1:6" x14ac:dyDescent="0.3">
      <c r="A202" s="42">
        <v>1201</v>
      </c>
      <c r="B202" s="58" t="s">
        <v>147</v>
      </c>
      <c r="C202" s="42" t="s">
        <v>111</v>
      </c>
      <c r="D202" s="42">
        <v>1</v>
      </c>
      <c r="E202" s="42">
        <v>3000</v>
      </c>
      <c r="F202" s="42">
        <v>3000</v>
      </c>
    </row>
    <row r="203" spans="1:6" x14ac:dyDescent="0.3">
      <c r="A203" s="42"/>
      <c r="B203" s="58">
        <v>44738.64879363426</v>
      </c>
      <c r="C203" s="42" t="s">
        <v>3</v>
      </c>
      <c r="D203" s="42"/>
      <c r="E203" s="42"/>
      <c r="F203" s="42">
        <v>1122</v>
      </c>
    </row>
    <row r="204" spans="1:6" x14ac:dyDescent="0.3">
      <c r="A204" s="42" t="s">
        <v>5</v>
      </c>
      <c r="B204" s="58" t="s">
        <v>6</v>
      </c>
      <c r="C204" s="42" t="s">
        <v>7</v>
      </c>
      <c r="D204" s="42" t="s">
        <v>8</v>
      </c>
      <c r="E204" s="42" t="s">
        <v>9</v>
      </c>
      <c r="F204" s="42" t="s">
        <v>10</v>
      </c>
    </row>
    <row r="205" spans="1:6" x14ac:dyDescent="0.3">
      <c r="A205" s="42">
        <v>1113</v>
      </c>
      <c r="B205" s="58" t="s">
        <v>123</v>
      </c>
      <c r="C205" s="42" t="s">
        <v>111</v>
      </c>
      <c r="D205" s="42">
        <v>3</v>
      </c>
      <c r="E205" s="42">
        <v>1000</v>
      </c>
      <c r="F205" s="42">
        <v>3000</v>
      </c>
    </row>
    <row r="206" spans="1:6" x14ac:dyDescent="0.3">
      <c r="A206" s="42">
        <v>1114</v>
      </c>
      <c r="B206" s="58" t="s">
        <v>124</v>
      </c>
      <c r="C206" s="42" t="s">
        <v>111</v>
      </c>
      <c r="D206" s="42">
        <v>3</v>
      </c>
      <c r="E206" s="42">
        <v>450</v>
      </c>
      <c r="F206" s="42">
        <v>1350</v>
      </c>
    </row>
    <row r="207" spans="1:6" x14ac:dyDescent="0.3">
      <c r="A207" s="42">
        <v>1201</v>
      </c>
      <c r="B207" s="58" t="s">
        <v>147</v>
      </c>
      <c r="C207" s="42" t="s">
        <v>111</v>
      </c>
      <c r="D207" s="42">
        <v>1</v>
      </c>
      <c r="E207" s="42">
        <v>3000</v>
      </c>
      <c r="F207" s="42">
        <v>3000</v>
      </c>
    </row>
    <row r="208" spans="1:6" x14ac:dyDescent="0.3">
      <c r="A208" s="42"/>
      <c r="B208" s="58">
        <v>44738.649768402778</v>
      </c>
      <c r="C208" s="42" t="s">
        <v>3</v>
      </c>
      <c r="D208" s="42"/>
      <c r="E208" s="42"/>
      <c r="F208" s="42">
        <v>1123</v>
      </c>
    </row>
    <row r="209" spans="1:6" x14ac:dyDescent="0.3">
      <c r="A209" s="42" t="s">
        <v>5</v>
      </c>
      <c r="B209" s="58" t="s">
        <v>6</v>
      </c>
      <c r="C209" s="42" t="s">
        <v>7</v>
      </c>
      <c r="D209" s="42" t="s">
        <v>8</v>
      </c>
      <c r="E209" s="42" t="s">
        <v>9</v>
      </c>
      <c r="F209" s="42" t="s">
        <v>10</v>
      </c>
    </row>
    <row r="210" spans="1:6" x14ac:dyDescent="0.3">
      <c r="A210" s="42">
        <v>1030</v>
      </c>
      <c r="B210" s="58" t="s">
        <v>71</v>
      </c>
      <c r="C210" s="42" t="s">
        <v>44</v>
      </c>
      <c r="D210" s="42">
        <v>10</v>
      </c>
      <c r="E210" s="42">
        <v>100</v>
      </c>
      <c r="F210" s="42">
        <v>1000</v>
      </c>
    </row>
    <row r="211" spans="1:6" x14ac:dyDescent="0.3">
      <c r="A211" s="42">
        <v>1033</v>
      </c>
      <c r="B211" s="58" t="s">
        <v>74</v>
      </c>
      <c r="C211" s="42" t="s">
        <v>44</v>
      </c>
      <c r="D211" s="42">
        <v>5</v>
      </c>
      <c r="E211" s="42">
        <v>180</v>
      </c>
      <c r="F211" s="42">
        <v>900</v>
      </c>
    </row>
    <row r="212" spans="1:6" x14ac:dyDescent="0.3">
      <c r="A212" s="42">
        <v>1034</v>
      </c>
      <c r="B212" s="58" t="s">
        <v>75</v>
      </c>
      <c r="C212" s="42" t="s">
        <v>44</v>
      </c>
      <c r="D212" s="42">
        <v>5</v>
      </c>
      <c r="E212" s="42">
        <v>120</v>
      </c>
      <c r="F212" s="42">
        <v>600</v>
      </c>
    </row>
    <row r="213" spans="1:6" x14ac:dyDescent="0.3">
      <c r="A213" s="42">
        <v>1049</v>
      </c>
      <c r="B213" s="58" t="s">
        <v>91</v>
      </c>
      <c r="C213" s="42" t="s">
        <v>44</v>
      </c>
      <c r="D213" s="42">
        <v>1</v>
      </c>
      <c r="E213" s="42">
        <v>350</v>
      </c>
      <c r="F213" s="42">
        <v>350</v>
      </c>
    </row>
    <row r="214" spans="1:6" x14ac:dyDescent="0.3">
      <c r="A214" s="42">
        <v>1113</v>
      </c>
      <c r="B214" s="58" t="s">
        <v>123</v>
      </c>
      <c r="C214" s="42" t="s">
        <v>111</v>
      </c>
      <c r="D214" s="42">
        <v>3</v>
      </c>
      <c r="E214" s="42">
        <v>1000</v>
      </c>
      <c r="F214" s="42">
        <v>3000</v>
      </c>
    </row>
    <row r="215" spans="1:6" x14ac:dyDescent="0.3">
      <c r="A215" s="42"/>
      <c r="B215" s="58">
        <v>44738.650587152777</v>
      </c>
      <c r="C215" s="42" t="s">
        <v>3</v>
      </c>
      <c r="D215" s="42"/>
      <c r="E215" s="42"/>
      <c r="F215" s="42">
        <v>1124</v>
      </c>
    </row>
    <row r="216" spans="1:6" x14ac:dyDescent="0.3">
      <c r="A216" s="42" t="s">
        <v>5</v>
      </c>
      <c r="B216" s="58" t="s">
        <v>6</v>
      </c>
      <c r="C216" s="42" t="s">
        <v>7</v>
      </c>
      <c r="D216" s="42" t="s">
        <v>8</v>
      </c>
      <c r="E216" s="42" t="s">
        <v>9</v>
      </c>
      <c r="F216" s="42" t="s">
        <v>10</v>
      </c>
    </row>
    <row r="217" spans="1:6" x14ac:dyDescent="0.3">
      <c r="A217" s="42">
        <v>1030</v>
      </c>
      <c r="B217" s="58" t="s">
        <v>71</v>
      </c>
      <c r="C217" s="42" t="s">
        <v>44</v>
      </c>
      <c r="D217" s="42">
        <v>10</v>
      </c>
      <c r="E217" s="42">
        <v>100</v>
      </c>
      <c r="F217" s="42">
        <v>1000</v>
      </c>
    </row>
    <row r="218" spans="1:6" x14ac:dyDescent="0.3">
      <c r="A218" s="42">
        <v>1039</v>
      </c>
      <c r="B218" s="58" t="s">
        <v>81</v>
      </c>
      <c r="C218" s="42" t="s">
        <v>44</v>
      </c>
      <c r="D218" s="42">
        <v>5</v>
      </c>
      <c r="E218" s="42">
        <v>20</v>
      </c>
      <c r="F218" s="42">
        <v>100</v>
      </c>
    </row>
    <row r="219" spans="1:6" x14ac:dyDescent="0.3">
      <c r="A219" s="64">
        <v>1041</v>
      </c>
      <c r="B219" s="65" t="s">
        <v>83</v>
      </c>
      <c r="C219" s="64" t="s">
        <v>44</v>
      </c>
      <c r="D219" s="64">
        <v>2</v>
      </c>
      <c r="E219" s="64">
        <v>100</v>
      </c>
      <c r="F219" s="64">
        <v>200</v>
      </c>
    </row>
    <row r="220" spans="1:6" x14ac:dyDescent="0.3">
      <c r="A220" s="42">
        <v>1113</v>
      </c>
      <c r="B220" s="58" t="s">
        <v>123</v>
      </c>
      <c r="C220" s="42" t="s">
        <v>111</v>
      </c>
      <c r="D220" s="42">
        <v>1</v>
      </c>
      <c r="E220" s="42">
        <v>1000</v>
      </c>
      <c r="F220" s="42">
        <v>1000</v>
      </c>
    </row>
    <row r="221" spans="1:6" x14ac:dyDescent="0.3">
      <c r="A221" s="42">
        <v>1114</v>
      </c>
      <c r="B221" s="58" t="s">
        <v>124</v>
      </c>
      <c r="C221" s="42" t="s">
        <v>111</v>
      </c>
      <c r="D221" s="42">
        <v>2</v>
      </c>
      <c r="E221" s="42">
        <v>450</v>
      </c>
      <c r="F221" s="42">
        <v>900</v>
      </c>
    </row>
    <row r="222" spans="1:6" x14ac:dyDescent="0.3">
      <c r="A222" s="42">
        <v>1201</v>
      </c>
      <c r="B222" s="58" t="s">
        <v>147</v>
      </c>
      <c r="C222" s="42" t="s">
        <v>111</v>
      </c>
      <c r="D222" s="42">
        <v>1</v>
      </c>
      <c r="E222" s="42">
        <v>3000</v>
      </c>
      <c r="F222" s="42">
        <v>3000</v>
      </c>
    </row>
    <row r="223" spans="1:6" x14ac:dyDescent="0.3">
      <c r="A223" s="42"/>
      <c r="B223" s="58">
        <v>44738.651084722223</v>
      </c>
      <c r="C223" s="42" t="s">
        <v>3</v>
      </c>
      <c r="D223" s="42"/>
      <c r="E223" s="42"/>
      <c r="F223" s="42">
        <v>1125</v>
      </c>
    </row>
    <row r="224" spans="1:6" x14ac:dyDescent="0.3">
      <c r="A224" s="42" t="s">
        <v>5</v>
      </c>
      <c r="B224" s="58" t="s">
        <v>6</v>
      </c>
      <c r="C224" s="42" t="s">
        <v>7</v>
      </c>
      <c r="D224" s="42" t="s">
        <v>8</v>
      </c>
      <c r="E224" s="42" t="s">
        <v>9</v>
      </c>
      <c r="F224" s="42" t="s">
        <v>10</v>
      </c>
    </row>
    <row r="225" spans="1:6" x14ac:dyDescent="0.3">
      <c r="A225" s="42">
        <v>1030</v>
      </c>
      <c r="B225" s="58" t="s">
        <v>71</v>
      </c>
      <c r="C225" s="42" t="s">
        <v>44</v>
      </c>
      <c r="D225" s="42">
        <v>24</v>
      </c>
      <c r="E225" s="42">
        <v>100</v>
      </c>
      <c r="F225" s="42">
        <v>2400</v>
      </c>
    </row>
    <row r="226" spans="1:6" x14ac:dyDescent="0.3">
      <c r="A226" s="42">
        <v>1201</v>
      </c>
      <c r="B226" s="58" t="s">
        <v>147</v>
      </c>
      <c r="C226" s="42" t="s">
        <v>111</v>
      </c>
      <c r="D226" s="42">
        <v>1</v>
      </c>
      <c r="E226" s="42">
        <v>3000</v>
      </c>
      <c r="F226" s="42">
        <v>3000</v>
      </c>
    </row>
    <row r="227" spans="1:6" x14ac:dyDescent="0.3">
      <c r="A227" s="42"/>
      <c r="B227" s="58">
        <v>44738.652954398145</v>
      </c>
      <c r="C227" s="42" t="s">
        <v>3</v>
      </c>
      <c r="D227" s="42"/>
      <c r="E227" s="42"/>
      <c r="F227" s="42">
        <v>1126</v>
      </c>
    </row>
    <row r="228" spans="1:6" x14ac:dyDescent="0.3">
      <c r="A228" s="42" t="s">
        <v>5</v>
      </c>
      <c r="B228" s="58" t="s">
        <v>6</v>
      </c>
      <c r="C228" s="42" t="s">
        <v>7</v>
      </c>
      <c r="D228" s="42" t="s">
        <v>8</v>
      </c>
      <c r="E228" s="42" t="s">
        <v>9</v>
      </c>
      <c r="F228" s="42" t="s">
        <v>10</v>
      </c>
    </row>
    <row r="229" spans="1:6" x14ac:dyDescent="0.3">
      <c r="A229" s="42">
        <v>1021</v>
      </c>
      <c r="B229" s="58" t="s">
        <v>64</v>
      </c>
      <c r="C229" s="42" t="s">
        <v>44</v>
      </c>
      <c r="D229" s="42">
        <v>5</v>
      </c>
      <c r="E229" s="42">
        <v>170</v>
      </c>
      <c r="F229" s="42">
        <v>850</v>
      </c>
    </row>
    <row r="230" spans="1:6" x14ac:dyDescent="0.3">
      <c r="A230" s="42">
        <v>1049</v>
      </c>
      <c r="B230" s="58" t="s">
        <v>91</v>
      </c>
      <c r="C230" s="42" t="s">
        <v>44</v>
      </c>
      <c r="D230" s="42">
        <v>1</v>
      </c>
      <c r="E230" s="42">
        <v>350</v>
      </c>
      <c r="F230" s="42">
        <v>350</v>
      </c>
    </row>
    <row r="231" spans="1:6" x14ac:dyDescent="0.3">
      <c r="A231" s="42">
        <v>1114</v>
      </c>
      <c r="B231" s="58" t="s">
        <v>124</v>
      </c>
      <c r="C231" s="42" t="s">
        <v>111</v>
      </c>
      <c r="D231" s="42">
        <v>2</v>
      </c>
      <c r="E231" s="42">
        <v>450</v>
      </c>
      <c r="F231" s="42">
        <v>900</v>
      </c>
    </row>
    <row r="232" spans="1:6" x14ac:dyDescent="0.3">
      <c r="A232" s="42"/>
      <c r="B232" s="58">
        <v>44738.654154050928</v>
      </c>
      <c r="C232" s="42" t="s">
        <v>3</v>
      </c>
      <c r="D232" s="42"/>
      <c r="E232" s="42"/>
      <c r="F232" s="42">
        <v>1127</v>
      </c>
    </row>
    <row r="233" spans="1:6" x14ac:dyDescent="0.3">
      <c r="A233" s="42" t="s">
        <v>5</v>
      </c>
      <c r="B233" s="58" t="s">
        <v>6</v>
      </c>
      <c r="C233" s="42" t="s">
        <v>7</v>
      </c>
      <c r="D233" s="42" t="s">
        <v>8</v>
      </c>
      <c r="E233" s="42" t="s">
        <v>9</v>
      </c>
      <c r="F233" s="42" t="s">
        <v>10</v>
      </c>
    </row>
    <row r="234" spans="1:6" x14ac:dyDescent="0.3">
      <c r="A234" s="42">
        <v>1030</v>
      </c>
      <c r="B234" s="58" t="s">
        <v>71</v>
      </c>
      <c r="C234" s="42" t="s">
        <v>44</v>
      </c>
      <c r="D234" s="42">
        <v>25</v>
      </c>
      <c r="E234" s="42">
        <v>100</v>
      </c>
      <c r="F234" s="42">
        <v>2500</v>
      </c>
    </row>
    <row r="235" spans="1:6" x14ac:dyDescent="0.3">
      <c r="A235" s="42">
        <v>1113</v>
      </c>
      <c r="B235" s="58" t="s">
        <v>123</v>
      </c>
      <c r="C235" s="42" t="s">
        <v>111</v>
      </c>
      <c r="D235" s="42">
        <v>1</v>
      </c>
      <c r="E235" s="42">
        <v>1000</v>
      </c>
      <c r="F235" s="42">
        <v>1000</v>
      </c>
    </row>
    <row r="236" spans="1:6" x14ac:dyDescent="0.3">
      <c r="A236" s="42">
        <v>1201</v>
      </c>
      <c r="B236" s="58" t="s">
        <v>147</v>
      </c>
      <c r="C236" s="42" t="s">
        <v>111</v>
      </c>
      <c r="D236" s="42">
        <v>1</v>
      </c>
      <c r="E236" s="42">
        <v>3000</v>
      </c>
      <c r="F236" s="42">
        <v>3000</v>
      </c>
    </row>
    <row r="237" spans="1:6" x14ac:dyDescent="0.3">
      <c r="A237" s="42"/>
      <c r="B237" s="58">
        <v>44738.654844444442</v>
      </c>
      <c r="C237" s="42" t="s">
        <v>3</v>
      </c>
      <c r="D237" s="42"/>
      <c r="E237" s="42"/>
      <c r="F237" s="42">
        <v>1128</v>
      </c>
    </row>
    <row r="238" spans="1:6" x14ac:dyDescent="0.3">
      <c r="A238" s="42" t="s">
        <v>5</v>
      </c>
      <c r="B238" s="58" t="s">
        <v>6</v>
      </c>
      <c r="C238" s="42" t="s">
        <v>7</v>
      </c>
      <c r="D238" s="42" t="s">
        <v>8</v>
      </c>
      <c r="E238" s="42" t="s">
        <v>9</v>
      </c>
      <c r="F238" s="42" t="s">
        <v>10</v>
      </c>
    </row>
    <row r="239" spans="1:6" x14ac:dyDescent="0.3">
      <c r="A239" s="42">
        <v>1030</v>
      </c>
      <c r="B239" s="58" t="s">
        <v>71</v>
      </c>
      <c r="C239" s="42" t="s">
        <v>44</v>
      </c>
      <c r="D239" s="42">
        <v>25</v>
      </c>
      <c r="E239" s="42">
        <v>100</v>
      </c>
      <c r="F239" s="42">
        <v>2500</v>
      </c>
    </row>
    <row r="240" spans="1:6" x14ac:dyDescent="0.3">
      <c r="A240" s="42">
        <v>1049</v>
      </c>
      <c r="B240" s="58" t="s">
        <v>91</v>
      </c>
      <c r="C240" s="42" t="s">
        <v>44</v>
      </c>
      <c r="D240" s="42">
        <v>1</v>
      </c>
      <c r="E240" s="42">
        <v>350</v>
      </c>
      <c r="F240" s="42">
        <v>350</v>
      </c>
    </row>
    <row r="241" spans="1:6" x14ac:dyDescent="0.3">
      <c r="A241" s="42">
        <v>1113</v>
      </c>
      <c r="B241" s="58" t="s">
        <v>123</v>
      </c>
      <c r="C241" s="42" t="s">
        <v>111</v>
      </c>
      <c r="D241" s="42">
        <v>2</v>
      </c>
      <c r="E241" s="42">
        <v>1000</v>
      </c>
      <c r="F241" s="42">
        <v>2000</v>
      </c>
    </row>
    <row r="242" spans="1:6" x14ac:dyDescent="0.3">
      <c r="A242" s="42">
        <v>1201</v>
      </c>
      <c r="B242" s="58" t="s">
        <v>147</v>
      </c>
      <c r="C242" s="42" t="s">
        <v>111</v>
      </c>
      <c r="D242" s="42">
        <v>1</v>
      </c>
      <c r="E242" s="42">
        <v>3000</v>
      </c>
      <c r="F242" s="42">
        <v>3000</v>
      </c>
    </row>
    <row r="243" spans="1:6" x14ac:dyDescent="0.3">
      <c r="A243" s="42"/>
      <c r="B243" s="58">
        <v>44738.655600810183</v>
      </c>
      <c r="C243" s="42" t="s">
        <v>3</v>
      </c>
      <c r="D243" s="42"/>
      <c r="E243" s="42"/>
      <c r="F243" s="42">
        <v>1129</v>
      </c>
    </row>
    <row r="244" spans="1:6" x14ac:dyDescent="0.3">
      <c r="A244" s="42" t="s">
        <v>5</v>
      </c>
      <c r="B244" s="58" t="s">
        <v>6</v>
      </c>
      <c r="C244" s="42" t="s">
        <v>7</v>
      </c>
      <c r="D244" s="42" t="s">
        <v>8</v>
      </c>
      <c r="E244" s="42" t="s">
        <v>9</v>
      </c>
      <c r="F244" s="42" t="s">
        <v>10</v>
      </c>
    </row>
    <row r="245" spans="1:6" x14ac:dyDescent="0.3">
      <c r="A245" s="42">
        <v>1030</v>
      </c>
      <c r="B245" s="58" t="s">
        <v>71</v>
      </c>
      <c r="C245" s="42" t="s">
        <v>44</v>
      </c>
      <c r="D245" s="42">
        <v>5</v>
      </c>
      <c r="E245" s="42">
        <v>100</v>
      </c>
      <c r="F245" s="42">
        <v>500</v>
      </c>
    </row>
    <row r="246" spans="1:6" x14ac:dyDescent="0.3">
      <c r="A246" s="42">
        <v>1049</v>
      </c>
      <c r="B246" s="58" t="s">
        <v>91</v>
      </c>
      <c r="C246" s="42" t="s">
        <v>44</v>
      </c>
      <c r="D246" s="42">
        <v>2</v>
      </c>
      <c r="E246" s="42">
        <v>350</v>
      </c>
      <c r="F246" s="42">
        <v>700</v>
      </c>
    </row>
    <row r="247" spans="1:6" x14ac:dyDescent="0.3">
      <c r="A247" s="42">
        <v>1108</v>
      </c>
      <c r="B247" s="58" t="s">
        <v>118</v>
      </c>
      <c r="C247" s="42" t="s">
        <v>111</v>
      </c>
      <c r="D247" s="42">
        <v>4</v>
      </c>
      <c r="E247" s="42">
        <v>5</v>
      </c>
      <c r="F247" s="42">
        <v>20</v>
      </c>
    </row>
    <row r="248" spans="1:6" x14ac:dyDescent="0.3">
      <c r="A248" s="42">
        <v>1113</v>
      </c>
      <c r="B248" s="58" t="s">
        <v>123</v>
      </c>
      <c r="C248" s="42" t="s">
        <v>111</v>
      </c>
      <c r="D248" s="42">
        <v>3</v>
      </c>
      <c r="E248" s="42">
        <v>1000</v>
      </c>
      <c r="F248" s="42">
        <v>3000</v>
      </c>
    </row>
    <row r="249" spans="1:6" x14ac:dyDescent="0.3">
      <c r="A249" s="42">
        <v>1201</v>
      </c>
      <c r="B249" s="58" t="s">
        <v>147</v>
      </c>
      <c r="C249" s="42" t="s">
        <v>111</v>
      </c>
      <c r="D249" s="42">
        <v>1</v>
      </c>
      <c r="E249" s="42">
        <v>3000</v>
      </c>
      <c r="F249" s="42">
        <v>3000</v>
      </c>
    </row>
    <row r="250" spans="1:6" x14ac:dyDescent="0.3">
      <c r="A250" s="42"/>
      <c r="B250" s="58">
        <v>44738.658106249997</v>
      </c>
      <c r="C250" s="42" t="s">
        <v>3</v>
      </c>
      <c r="D250" s="42"/>
      <c r="E250" s="42"/>
      <c r="F250" s="42">
        <v>1130</v>
      </c>
    </row>
    <row r="251" spans="1:6" x14ac:dyDescent="0.3">
      <c r="A251" s="42" t="s">
        <v>5</v>
      </c>
      <c r="B251" s="58" t="s">
        <v>6</v>
      </c>
      <c r="C251" s="42" t="s">
        <v>7</v>
      </c>
      <c r="D251" s="42" t="s">
        <v>8</v>
      </c>
      <c r="E251" s="42" t="s">
        <v>9</v>
      </c>
      <c r="F251" s="42" t="s">
        <v>10</v>
      </c>
    </row>
    <row r="252" spans="1:6" x14ac:dyDescent="0.3">
      <c r="A252" s="42">
        <v>1030</v>
      </c>
      <c r="B252" s="58" t="s">
        <v>71</v>
      </c>
      <c r="C252" s="42" t="s">
        <v>44</v>
      </c>
      <c r="D252" s="42">
        <v>16</v>
      </c>
      <c r="E252" s="42">
        <v>100</v>
      </c>
      <c r="F252" s="42">
        <v>1600</v>
      </c>
    </row>
    <row r="253" spans="1:6" x14ac:dyDescent="0.3">
      <c r="A253" s="42">
        <v>1035</v>
      </c>
      <c r="B253" s="58" t="s">
        <v>76</v>
      </c>
      <c r="C253" s="42" t="s">
        <v>44</v>
      </c>
      <c r="D253" s="42">
        <v>1</v>
      </c>
      <c r="E253" s="42">
        <v>110</v>
      </c>
      <c r="F253" s="42">
        <v>110</v>
      </c>
    </row>
    <row r="254" spans="1:6" x14ac:dyDescent="0.3">
      <c r="A254" s="42">
        <v>1036</v>
      </c>
      <c r="B254" s="58" t="s">
        <v>77</v>
      </c>
      <c r="C254" s="42" t="s">
        <v>44</v>
      </c>
      <c r="D254" s="42">
        <v>6</v>
      </c>
      <c r="E254" s="42">
        <v>10</v>
      </c>
      <c r="F254" s="42">
        <v>60</v>
      </c>
    </row>
    <row r="255" spans="1:6" x14ac:dyDescent="0.3">
      <c r="A255" s="42">
        <v>1106</v>
      </c>
      <c r="B255" s="58" t="s">
        <v>116</v>
      </c>
      <c r="C255" s="42" t="s">
        <v>111</v>
      </c>
      <c r="D255" s="42">
        <v>5</v>
      </c>
      <c r="E255" s="42">
        <v>45</v>
      </c>
      <c r="F255" s="42">
        <v>225</v>
      </c>
    </row>
    <row r="256" spans="1:6" x14ac:dyDescent="0.3">
      <c r="A256" s="42">
        <v>1108</v>
      </c>
      <c r="B256" s="58" t="s">
        <v>118</v>
      </c>
      <c r="C256" s="42" t="s">
        <v>111</v>
      </c>
      <c r="D256" s="42">
        <v>5</v>
      </c>
      <c r="E256" s="42">
        <v>5</v>
      </c>
      <c r="F256" s="42">
        <v>25</v>
      </c>
    </row>
    <row r="257" spans="1:6" x14ac:dyDescent="0.3">
      <c r="A257" s="42">
        <v>1113</v>
      </c>
      <c r="B257" s="58" t="s">
        <v>123</v>
      </c>
      <c r="C257" s="42" t="s">
        <v>111</v>
      </c>
      <c r="D257" s="42">
        <v>3</v>
      </c>
      <c r="E257" s="42">
        <v>1000</v>
      </c>
      <c r="F257" s="42">
        <v>3000</v>
      </c>
    </row>
    <row r="258" spans="1:6" x14ac:dyDescent="0.3">
      <c r="A258" s="42"/>
      <c r="B258" s="58">
        <v>44738.658772569448</v>
      </c>
      <c r="C258" s="42" t="s">
        <v>3</v>
      </c>
      <c r="D258" s="42"/>
      <c r="E258" s="42"/>
      <c r="F258" s="42">
        <v>1131</v>
      </c>
    </row>
    <row r="259" spans="1:6" x14ac:dyDescent="0.3">
      <c r="A259" s="42" t="s">
        <v>5</v>
      </c>
      <c r="B259" s="58" t="s">
        <v>6</v>
      </c>
      <c r="C259" s="42" t="s">
        <v>7</v>
      </c>
      <c r="D259" s="42" t="s">
        <v>8</v>
      </c>
      <c r="E259" s="42" t="s">
        <v>9</v>
      </c>
      <c r="F259" s="42" t="s">
        <v>10</v>
      </c>
    </row>
    <row r="260" spans="1:6" x14ac:dyDescent="0.3">
      <c r="A260" s="42">
        <v>1201</v>
      </c>
      <c r="B260" s="58" t="s">
        <v>147</v>
      </c>
      <c r="C260" s="42" t="s">
        <v>111</v>
      </c>
      <c r="D260" s="42">
        <v>1</v>
      </c>
      <c r="E260" s="42">
        <v>3000</v>
      </c>
      <c r="F260" s="42">
        <v>3000</v>
      </c>
    </row>
    <row r="261" spans="1:6" x14ac:dyDescent="0.3">
      <c r="A261" s="42"/>
      <c r="B261" s="58">
        <v>44738.661805439813</v>
      </c>
      <c r="C261" s="42" t="s">
        <v>3</v>
      </c>
      <c r="D261" s="42"/>
      <c r="E261" s="42"/>
      <c r="F261" s="42">
        <v>1132</v>
      </c>
    </row>
    <row r="262" spans="1:6" x14ac:dyDescent="0.3">
      <c r="A262" s="42" t="s">
        <v>5</v>
      </c>
      <c r="B262" s="58" t="s">
        <v>6</v>
      </c>
      <c r="C262" s="42" t="s">
        <v>7</v>
      </c>
      <c r="D262" s="42" t="s">
        <v>8</v>
      </c>
      <c r="E262" s="42" t="s">
        <v>9</v>
      </c>
      <c r="F262" s="42" t="s">
        <v>10</v>
      </c>
    </row>
    <row r="263" spans="1:6" x14ac:dyDescent="0.3">
      <c r="A263" s="42">
        <v>1030</v>
      </c>
      <c r="B263" s="58" t="s">
        <v>71</v>
      </c>
      <c r="C263" s="42" t="s">
        <v>44</v>
      </c>
      <c r="D263" s="42">
        <v>15</v>
      </c>
      <c r="E263" s="42">
        <v>100</v>
      </c>
      <c r="F263" s="42">
        <v>1500</v>
      </c>
    </row>
    <row r="264" spans="1:6" x14ac:dyDescent="0.3">
      <c r="A264" s="42">
        <v>1049</v>
      </c>
      <c r="B264" s="58" t="s">
        <v>91</v>
      </c>
      <c r="C264" s="42" t="s">
        <v>44</v>
      </c>
      <c r="D264" s="42">
        <v>1</v>
      </c>
      <c r="E264" s="42">
        <v>350</v>
      </c>
      <c r="F264" s="42">
        <v>350</v>
      </c>
    </row>
    <row r="265" spans="1:6" x14ac:dyDescent="0.3">
      <c r="A265" s="42">
        <v>1106</v>
      </c>
      <c r="B265" s="58" t="s">
        <v>116</v>
      </c>
      <c r="C265" s="42" t="s">
        <v>111</v>
      </c>
      <c r="D265" s="42">
        <v>5</v>
      </c>
      <c r="E265" s="42">
        <v>45</v>
      </c>
      <c r="F265" s="42">
        <v>225</v>
      </c>
    </row>
    <row r="266" spans="1:6" x14ac:dyDescent="0.3">
      <c r="A266" s="42">
        <v>1114</v>
      </c>
      <c r="B266" s="58" t="s">
        <v>124</v>
      </c>
      <c r="C266" s="42" t="s">
        <v>111</v>
      </c>
      <c r="D266" s="42">
        <v>2</v>
      </c>
      <c r="E266" s="42">
        <v>450</v>
      </c>
      <c r="F266" s="42">
        <v>900</v>
      </c>
    </row>
    <row r="267" spans="1:6" x14ac:dyDescent="0.3">
      <c r="A267" s="42">
        <v>1201</v>
      </c>
      <c r="B267" s="58" t="s">
        <v>147</v>
      </c>
      <c r="C267" s="42" t="s">
        <v>111</v>
      </c>
      <c r="D267" s="42">
        <v>1</v>
      </c>
      <c r="E267" s="42">
        <v>3000</v>
      </c>
      <c r="F267" s="42">
        <v>3000</v>
      </c>
    </row>
    <row r="268" spans="1:6" x14ac:dyDescent="0.3">
      <c r="A268" s="42"/>
      <c r="B268" s="58">
        <v>44738.663639236111</v>
      </c>
      <c r="C268" s="42" t="s">
        <v>3</v>
      </c>
      <c r="D268" s="42"/>
      <c r="E268" s="42"/>
      <c r="F268" s="42">
        <v>1133</v>
      </c>
    </row>
    <row r="269" spans="1:6" x14ac:dyDescent="0.3">
      <c r="A269" s="42" t="s">
        <v>5</v>
      </c>
      <c r="B269" s="58" t="s">
        <v>6</v>
      </c>
      <c r="C269" s="42" t="s">
        <v>7</v>
      </c>
      <c r="D269" s="42" t="s">
        <v>8</v>
      </c>
      <c r="E269" s="42" t="s">
        <v>9</v>
      </c>
      <c r="F269" s="42" t="s">
        <v>10</v>
      </c>
    </row>
    <row r="270" spans="1:6" x14ac:dyDescent="0.3">
      <c r="A270" s="42">
        <v>1030</v>
      </c>
      <c r="B270" s="58" t="s">
        <v>71</v>
      </c>
      <c r="C270" s="42" t="s">
        <v>44</v>
      </c>
      <c r="D270" s="42">
        <v>6</v>
      </c>
      <c r="E270" s="42">
        <v>100</v>
      </c>
      <c r="F270" s="42">
        <v>600</v>
      </c>
    </row>
    <row r="271" spans="1:6" x14ac:dyDescent="0.3">
      <c r="A271" s="42">
        <v>1033</v>
      </c>
      <c r="B271" s="58" t="s">
        <v>74</v>
      </c>
      <c r="C271" s="42" t="s">
        <v>44</v>
      </c>
      <c r="D271" s="42">
        <v>2</v>
      </c>
      <c r="E271" s="42">
        <v>180</v>
      </c>
      <c r="F271" s="42">
        <v>360</v>
      </c>
    </row>
    <row r="272" spans="1:6" x14ac:dyDescent="0.3">
      <c r="A272" s="42">
        <v>1034</v>
      </c>
      <c r="B272" s="58" t="s">
        <v>75</v>
      </c>
      <c r="C272" s="42" t="s">
        <v>44</v>
      </c>
      <c r="D272" s="42">
        <v>2</v>
      </c>
      <c r="E272" s="42">
        <v>120</v>
      </c>
      <c r="F272" s="42">
        <v>240</v>
      </c>
    </row>
    <row r="273" spans="1:6" x14ac:dyDescent="0.3">
      <c r="A273" s="42">
        <v>1103</v>
      </c>
      <c r="B273" s="58" t="s">
        <v>113</v>
      </c>
      <c r="C273" s="42" t="s">
        <v>111</v>
      </c>
      <c r="D273" s="42">
        <v>3</v>
      </c>
      <c r="E273" s="42">
        <v>30</v>
      </c>
      <c r="F273" s="42">
        <v>90</v>
      </c>
    </row>
    <row r="274" spans="1:6" x14ac:dyDescent="0.3">
      <c r="A274" s="42">
        <v>1113</v>
      </c>
      <c r="B274" s="58" t="s">
        <v>123</v>
      </c>
      <c r="C274" s="42" t="s">
        <v>111</v>
      </c>
      <c r="D274" s="42">
        <v>3</v>
      </c>
      <c r="E274" s="42">
        <v>1000</v>
      </c>
      <c r="F274" s="42">
        <v>3000</v>
      </c>
    </row>
    <row r="275" spans="1:6" x14ac:dyDescent="0.3">
      <c r="A275" s="42">
        <v>1114</v>
      </c>
      <c r="B275" s="58" t="s">
        <v>124</v>
      </c>
      <c r="C275" s="42" t="s">
        <v>111</v>
      </c>
      <c r="D275" s="42">
        <v>3</v>
      </c>
      <c r="E275" s="42">
        <v>450</v>
      </c>
      <c r="F275" s="42">
        <v>1350</v>
      </c>
    </row>
    <row r="276" spans="1:6" x14ac:dyDescent="0.3">
      <c r="A276" s="42">
        <v>1201</v>
      </c>
      <c r="B276" s="58" t="s">
        <v>147</v>
      </c>
      <c r="C276" s="42" t="s">
        <v>111</v>
      </c>
      <c r="D276" s="42">
        <v>1</v>
      </c>
      <c r="E276" s="42">
        <v>3000</v>
      </c>
      <c r="F276" s="42">
        <v>3000</v>
      </c>
    </row>
    <row r="277" spans="1:6" x14ac:dyDescent="0.3">
      <c r="A277" s="42">
        <v>1027</v>
      </c>
      <c r="B277" s="58" t="s">
        <v>68</v>
      </c>
      <c r="C277" s="42" t="s">
        <v>44</v>
      </c>
      <c r="D277" s="42">
        <v>2</v>
      </c>
      <c r="E277" s="42">
        <v>20</v>
      </c>
      <c r="F277" s="42">
        <v>40</v>
      </c>
    </row>
    <row r="278" spans="1:6" x14ac:dyDescent="0.3">
      <c r="A278" s="42"/>
      <c r="B278" s="58">
        <v>44738.667041782406</v>
      </c>
      <c r="C278" s="42" t="s">
        <v>3</v>
      </c>
      <c r="D278" s="42"/>
      <c r="E278" s="42"/>
      <c r="F278" s="42">
        <v>1134</v>
      </c>
    </row>
    <row r="279" spans="1:6" x14ac:dyDescent="0.3">
      <c r="A279" s="42" t="s">
        <v>5</v>
      </c>
      <c r="B279" s="58" t="s">
        <v>6</v>
      </c>
      <c r="C279" s="42" t="s">
        <v>7</v>
      </c>
      <c r="D279" s="42" t="s">
        <v>8</v>
      </c>
      <c r="E279" s="42" t="s">
        <v>9</v>
      </c>
      <c r="F279" s="42" t="s">
        <v>10</v>
      </c>
    </row>
    <row r="280" spans="1:6" x14ac:dyDescent="0.3">
      <c r="A280" s="42">
        <v>1030</v>
      </c>
      <c r="B280" s="58" t="s">
        <v>71</v>
      </c>
      <c r="C280" s="42" t="s">
        <v>44</v>
      </c>
      <c r="D280" s="42">
        <v>25</v>
      </c>
      <c r="E280" s="42">
        <v>100</v>
      </c>
      <c r="F280" s="42">
        <v>2500</v>
      </c>
    </row>
    <row r="281" spans="1:6" x14ac:dyDescent="0.3">
      <c r="A281" s="42">
        <v>1106</v>
      </c>
      <c r="B281" s="58" t="s">
        <v>116</v>
      </c>
      <c r="C281" s="42" t="s">
        <v>111</v>
      </c>
      <c r="D281" s="42">
        <v>4</v>
      </c>
      <c r="E281" s="42">
        <v>45</v>
      </c>
      <c r="F281" s="42">
        <v>180</v>
      </c>
    </row>
    <row r="282" spans="1:6" x14ac:dyDescent="0.3">
      <c r="A282" s="42">
        <v>1108</v>
      </c>
      <c r="B282" s="58" t="s">
        <v>118</v>
      </c>
      <c r="C282" s="42" t="s">
        <v>111</v>
      </c>
      <c r="D282" s="42">
        <v>4</v>
      </c>
      <c r="E282" s="42">
        <v>5</v>
      </c>
      <c r="F282" s="42">
        <v>20</v>
      </c>
    </row>
    <row r="283" spans="1:6" x14ac:dyDescent="0.3">
      <c r="A283" s="42">
        <v>1113</v>
      </c>
      <c r="B283" s="58" t="s">
        <v>123</v>
      </c>
      <c r="C283" s="42" t="s">
        <v>111</v>
      </c>
      <c r="D283" s="42">
        <v>1</v>
      </c>
      <c r="E283" s="42">
        <v>1000</v>
      </c>
      <c r="F283" s="42">
        <v>1000</v>
      </c>
    </row>
    <row r="284" spans="1:6" x14ac:dyDescent="0.3">
      <c r="A284" s="42">
        <v>1114</v>
      </c>
      <c r="B284" s="58" t="s">
        <v>124</v>
      </c>
      <c r="C284" s="42" t="s">
        <v>111</v>
      </c>
      <c r="D284" s="42">
        <v>2</v>
      </c>
      <c r="E284" s="42">
        <v>450</v>
      </c>
      <c r="F284" s="42">
        <v>900</v>
      </c>
    </row>
    <row r="285" spans="1:6" x14ac:dyDescent="0.3">
      <c r="A285" s="42">
        <v>1201</v>
      </c>
      <c r="B285" s="58" t="s">
        <v>147</v>
      </c>
      <c r="C285" s="42" t="s">
        <v>111</v>
      </c>
      <c r="D285" s="42">
        <v>1</v>
      </c>
      <c r="E285" s="42">
        <v>3000</v>
      </c>
      <c r="F285" s="42">
        <v>3000</v>
      </c>
    </row>
    <row r="286" spans="1:6" x14ac:dyDescent="0.3">
      <c r="A286" s="42"/>
      <c r="B286" s="58">
        <v>44738.677738888888</v>
      </c>
      <c r="C286" s="42" t="s">
        <v>3</v>
      </c>
      <c r="D286" s="42"/>
      <c r="E286" s="42"/>
      <c r="F286" s="42">
        <v>1135</v>
      </c>
    </row>
    <row r="287" spans="1:6" x14ac:dyDescent="0.3">
      <c r="A287" s="42" t="s">
        <v>5</v>
      </c>
      <c r="B287" s="58" t="s">
        <v>6</v>
      </c>
      <c r="C287" s="42" t="s">
        <v>7</v>
      </c>
      <c r="D287" s="42" t="s">
        <v>8</v>
      </c>
      <c r="E287" s="42" t="s">
        <v>9</v>
      </c>
      <c r="F287" s="42" t="s">
        <v>10</v>
      </c>
    </row>
    <row r="288" spans="1:6" x14ac:dyDescent="0.3">
      <c r="A288" s="42">
        <v>1114</v>
      </c>
      <c r="B288" s="58" t="s">
        <v>124</v>
      </c>
      <c r="C288" s="42" t="s">
        <v>111</v>
      </c>
      <c r="D288" s="42">
        <v>4</v>
      </c>
      <c r="E288" s="42">
        <v>450</v>
      </c>
      <c r="F288" s="42">
        <v>1800</v>
      </c>
    </row>
    <row r="289" spans="1:6" x14ac:dyDescent="0.3">
      <c r="A289" s="42">
        <v>1201</v>
      </c>
      <c r="B289" s="58" t="s">
        <v>147</v>
      </c>
      <c r="C289" s="42" t="s">
        <v>111</v>
      </c>
      <c r="D289" s="42">
        <v>1</v>
      </c>
      <c r="E289" s="42">
        <v>3000</v>
      </c>
      <c r="F289" s="42">
        <v>3000</v>
      </c>
    </row>
    <row r="290" spans="1:6" x14ac:dyDescent="0.3">
      <c r="A290" s="42"/>
      <c r="B290" s="58">
        <v>44738.680154166665</v>
      </c>
      <c r="C290" s="42" t="s">
        <v>3</v>
      </c>
      <c r="D290" s="42"/>
      <c r="E290" s="42"/>
      <c r="F290" s="42">
        <v>1136</v>
      </c>
    </row>
    <row r="291" spans="1:6" x14ac:dyDescent="0.3">
      <c r="A291" s="42" t="s">
        <v>5</v>
      </c>
      <c r="B291" s="58" t="s">
        <v>6</v>
      </c>
      <c r="C291" s="42" t="s">
        <v>7</v>
      </c>
      <c r="D291" s="42" t="s">
        <v>8</v>
      </c>
      <c r="E291" s="42" t="s">
        <v>9</v>
      </c>
      <c r="F291" s="42" t="s">
        <v>10</v>
      </c>
    </row>
    <row r="292" spans="1:6" x14ac:dyDescent="0.3">
      <c r="A292" s="42">
        <v>1030</v>
      </c>
      <c r="B292" s="58" t="s">
        <v>71</v>
      </c>
      <c r="C292" s="42" t="s">
        <v>44</v>
      </c>
      <c r="D292" s="42">
        <v>4</v>
      </c>
      <c r="E292" s="42">
        <v>100</v>
      </c>
      <c r="F292" s="42">
        <v>400</v>
      </c>
    </row>
    <row r="293" spans="1:6" x14ac:dyDescent="0.3">
      <c r="A293" s="42">
        <v>1049</v>
      </c>
      <c r="B293" s="58" t="s">
        <v>91</v>
      </c>
      <c r="C293" s="42" t="s">
        <v>44</v>
      </c>
      <c r="D293" s="42">
        <v>1</v>
      </c>
      <c r="E293" s="42">
        <v>350</v>
      </c>
      <c r="F293" s="42">
        <v>350</v>
      </c>
    </row>
    <row r="294" spans="1:6" x14ac:dyDescent="0.3">
      <c r="A294" s="42">
        <v>1106</v>
      </c>
      <c r="B294" s="58" t="s">
        <v>116</v>
      </c>
      <c r="C294" s="42" t="s">
        <v>111</v>
      </c>
      <c r="D294" s="42">
        <v>3</v>
      </c>
      <c r="E294" s="42">
        <v>45</v>
      </c>
      <c r="F294" s="42">
        <v>135</v>
      </c>
    </row>
    <row r="295" spans="1:6" x14ac:dyDescent="0.3">
      <c r="A295" s="42">
        <v>1108</v>
      </c>
      <c r="B295" s="58" t="s">
        <v>118</v>
      </c>
      <c r="C295" s="42" t="s">
        <v>111</v>
      </c>
      <c r="D295" s="42">
        <v>4</v>
      </c>
      <c r="E295" s="42">
        <v>5</v>
      </c>
      <c r="F295" s="42">
        <v>20</v>
      </c>
    </row>
    <row r="296" spans="1:6" x14ac:dyDescent="0.3">
      <c r="A296" s="42">
        <v>1114</v>
      </c>
      <c r="B296" s="58" t="s">
        <v>124</v>
      </c>
      <c r="C296" s="42" t="s">
        <v>111</v>
      </c>
      <c r="D296" s="42">
        <v>1</v>
      </c>
      <c r="E296" s="42">
        <v>450</v>
      </c>
      <c r="F296" s="42">
        <v>450</v>
      </c>
    </row>
    <row r="297" spans="1:6" x14ac:dyDescent="0.3">
      <c r="A297" s="42"/>
      <c r="B297" s="58">
        <v>44738.686959027778</v>
      </c>
      <c r="C297" s="42" t="s">
        <v>3</v>
      </c>
      <c r="D297" s="42"/>
      <c r="E297" s="42"/>
      <c r="F297" s="42">
        <v>1137</v>
      </c>
    </row>
    <row r="298" spans="1:6" x14ac:dyDescent="0.3">
      <c r="A298" s="42" t="s">
        <v>5</v>
      </c>
      <c r="B298" s="58" t="s">
        <v>6</v>
      </c>
      <c r="C298" s="42" t="s">
        <v>7</v>
      </c>
      <c r="D298" s="42" t="s">
        <v>8</v>
      </c>
      <c r="E298" s="42" t="s">
        <v>9</v>
      </c>
      <c r="F298" s="42" t="s">
        <v>10</v>
      </c>
    </row>
    <row r="299" spans="1:6" x14ac:dyDescent="0.3">
      <c r="A299" s="42">
        <v>1030</v>
      </c>
      <c r="B299" s="58" t="s">
        <v>71</v>
      </c>
      <c r="C299" s="42" t="s">
        <v>44</v>
      </c>
      <c r="D299" s="42">
        <v>10</v>
      </c>
      <c r="E299" s="42">
        <v>100</v>
      </c>
      <c r="F299" s="42">
        <v>1000</v>
      </c>
    </row>
    <row r="300" spans="1:6" x14ac:dyDescent="0.3">
      <c r="A300" s="42">
        <v>1113</v>
      </c>
      <c r="B300" s="58" t="s">
        <v>123</v>
      </c>
      <c r="C300" s="42" t="s">
        <v>111</v>
      </c>
      <c r="D300" s="42">
        <v>2</v>
      </c>
      <c r="E300" s="42">
        <v>1000</v>
      </c>
      <c r="F300" s="42">
        <v>2000</v>
      </c>
    </row>
    <row r="301" spans="1:6" x14ac:dyDescent="0.3">
      <c r="A301" s="42"/>
      <c r="B301" s="58">
        <v>44738.693290277777</v>
      </c>
      <c r="C301" s="42" t="s">
        <v>3</v>
      </c>
      <c r="D301" s="42"/>
      <c r="E301" s="42"/>
      <c r="F301" s="42">
        <v>1138</v>
      </c>
    </row>
    <row r="302" spans="1:6" x14ac:dyDescent="0.3">
      <c r="A302" s="42" t="s">
        <v>5</v>
      </c>
      <c r="B302" s="58" t="s">
        <v>6</v>
      </c>
      <c r="C302" s="42" t="s">
        <v>7</v>
      </c>
      <c r="D302" s="42" t="s">
        <v>8</v>
      </c>
      <c r="E302" s="42" t="s">
        <v>9</v>
      </c>
      <c r="F302" s="42" t="s">
        <v>10</v>
      </c>
    </row>
    <row r="303" spans="1:6" x14ac:dyDescent="0.3">
      <c r="A303" s="42">
        <v>1022</v>
      </c>
      <c r="B303" s="58" t="s">
        <v>65</v>
      </c>
      <c r="C303" s="42" t="s">
        <v>44</v>
      </c>
      <c r="D303" s="42">
        <v>1</v>
      </c>
      <c r="E303" s="42">
        <v>300</v>
      </c>
      <c r="F303" s="42">
        <v>300</v>
      </c>
    </row>
    <row r="304" spans="1:6" x14ac:dyDescent="0.3">
      <c r="A304" s="42">
        <v>1030</v>
      </c>
      <c r="B304" s="58" t="s">
        <v>71</v>
      </c>
      <c r="C304" s="42" t="s">
        <v>44</v>
      </c>
      <c r="D304" s="42">
        <v>10</v>
      </c>
      <c r="E304" s="42">
        <v>100</v>
      </c>
      <c r="F304" s="42">
        <v>1000</v>
      </c>
    </row>
    <row r="305" spans="1:6" x14ac:dyDescent="0.3">
      <c r="A305" s="42">
        <v>1106</v>
      </c>
      <c r="B305" s="58" t="s">
        <v>116</v>
      </c>
      <c r="C305" s="42" t="s">
        <v>111</v>
      </c>
      <c r="D305" s="42">
        <v>5</v>
      </c>
      <c r="E305" s="42">
        <v>45</v>
      </c>
      <c r="F305" s="42">
        <v>225</v>
      </c>
    </row>
    <row r="306" spans="1:6" x14ac:dyDescent="0.3">
      <c r="A306" s="42">
        <v>1113</v>
      </c>
      <c r="B306" s="58" t="s">
        <v>123</v>
      </c>
      <c r="C306" s="42" t="s">
        <v>111</v>
      </c>
      <c r="D306" s="42">
        <v>4</v>
      </c>
      <c r="E306" s="42">
        <v>1000</v>
      </c>
      <c r="F306" s="42">
        <v>4000</v>
      </c>
    </row>
    <row r="307" spans="1:6" x14ac:dyDescent="0.3">
      <c r="A307" s="42">
        <v>1114</v>
      </c>
      <c r="B307" s="58" t="s">
        <v>124</v>
      </c>
      <c r="C307" s="42" t="s">
        <v>111</v>
      </c>
      <c r="D307" s="42">
        <v>7</v>
      </c>
      <c r="E307" s="42">
        <v>450</v>
      </c>
      <c r="F307" s="42">
        <v>3150</v>
      </c>
    </row>
    <row r="308" spans="1:6" x14ac:dyDescent="0.3">
      <c r="A308" s="42">
        <v>1201</v>
      </c>
      <c r="B308" s="58" t="s">
        <v>147</v>
      </c>
      <c r="C308" s="42" t="s">
        <v>111</v>
      </c>
      <c r="D308" s="42">
        <v>1</v>
      </c>
      <c r="E308" s="42">
        <v>3000</v>
      </c>
      <c r="F308" s="42">
        <v>3000</v>
      </c>
    </row>
    <row r="309" spans="1:6" x14ac:dyDescent="0.3">
      <c r="A309" s="42"/>
      <c r="B309" s="58">
        <v>44738.702729629629</v>
      </c>
      <c r="C309" s="42" t="s">
        <v>3</v>
      </c>
      <c r="D309" s="42"/>
      <c r="E309" s="42"/>
      <c r="F309" s="42">
        <v>1139</v>
      </c>
    </row>
    <row r="310" spans="1:6" x14ac:dyDescent="0.3">
      <c r="A310" s="42" t="s">
        <v>5</v>
      </c>
      <c r="B310" s="58" t="s">
        <v>6</v>
      </c>
      <c r="C310" s="42" t="s">
        <v>7</v>
      </c>
      <c r="D310" s="42" t="s">
        <v>8</v>
      </c>
      <c r="E310" s="42" t="s">
        <v>9</v>
      </c>
      <c r="F310" s="42" t="s">
        <v>10</v>
      </c>
    </row>
    <row r="311" spans="1:6" x14ac:dyDescent="0.3">
      <c r="A311" s="42">
        <v>1030</v>
      </c>
      <c r="B311" s="58" t="s">
        <v>71</v>
      </c>
      <c r="C311" s="42" t="s">
        <v>44</v>
      </c>
      <c r="D311" s="42">
        <v>8</v>
      </c>
      <c r="E311" s="42">
        <v>100</v>
      </c>
      <c r="F311" s="42">
        <v>800</v>
      </c>
    </row>
    <row r="312" spans="1:6" x14ac:dyDescent="0.3">
      <c r="A312" s="42">
        <v>1113</v>
      </c>
      <c r="B312" s="58" t="s">
        <v>123</v>
      </c>
      <c r="C312" s="42" t="s">
        <v>111</v>
      </c>
      <c r="D312" s="42">
        <v>3</v>
      </c>
      <c r="E312" s="42">
        <v>1000</v>
      </c>
      <c r="F312" s="42">
        <v>3000</v>
      </c>
    </row>
    <row r="313" spans="1:6" x14ac:dyDescent="0.3">
      <c r="A313" s="42">
        <v>1201</v>
      </c>
      <c r="B313" s="58" t="s">
        <v>147</v>
      </c>
      <c r="C313" s="42" t="s">
        <v>111</v>
      </c>
      <c r="D313" s="42">
        <v>1</v>
      </c>
      <c r="E313" s="42">
        <v>3000</v>
      </c>
      <c r="F313" s="42">
        <v>3000</v>
      </c>
    </row>
    <row r="314" spans="1:6" x14ac:dyDescent="0.3">
      <c r="A314" s="42"/>
      <c r="B314" s="58">
        <v>44738.71005775463</v>
      </c>
      <c r="C314" s="42" t="s">
        <v>3</v>
      </c>
      <c r="D314" s="42"/>
      <c r="E314" s="42"/>
      <c r="F314" s="42">
        <v>1140</v>
      </c>
    </row>
    <row r="315" spans="1:6" x14ac:dyDescent="0.3">
      <c r="A315" s="42" t="s">
        <v>5</v>
      </c>
      <c r="B315" s="58" t="s">
        <v>6</v>
      </c>
      <c r="C315" s="42" t="s">
        <v>7</v>
      </c>
      <c r="D315" s="42" t="s">
        <v>8</v>
      </c>
      <c r="E315" s="42" t="s">
        <v>9</v>
      </c>
      <c r="F315" s="42" t="s">
        <v>10</v>
      </c>
    </row>
    <row r="316" spans="1:6" x14ac:dyDescent="0.3">
      <c r="A316" s="42">
        <v>1113</v>
      </c>
      <c r="B316" s="58" t="s">
        <v>123</v>
      </c>
      <c r="C316" s="42" t="s">
        <v>111</v>
      </c>
      <c r="D316" s="42">
        <v>3</v>
      </c>
      <c r="E316" s="42">
        <v>1000</v>
      </c>
      <c r="F316" s="42">
        <v>3000</v>
      </c>
    </row>
    <row r="317" spans="1:6" x14ac:dyDescent="0.3">
      <c r="A317" s="42">
        <v>1134</v>
      </c>
      <c r="B317" s="58" t="s">
        <v>145</v>
      </c>
      <c r="C317" s="42" t="s">
        <v>111</v>
      </c>
      <c r="D317" s="42">
        <v>1</v>
      </c>
      <c r="E317" s="42">
        <v>150</v>
      </c>
      <c r="F317" s="42">
        <v>150</v>
      </c>
    </row>
    <row r="318" spans="1:6" x14ac:dyDescent="0.3">
      <c r="A318" s="42">
        <v>1201</v>
      </c>
      <c r="B318" s="58" t="s">
        <v>147</v>
      </c>
      <c r="C318" s="42" t="s">
        <v>111</v>
      </c>
      <c r="D318" s="42">
        <v>1</v>
      </c>
      <c r="E318" s="42">
        <v>3000</v>
      </c>
      <c r="F318" s="42">
        <v>3000</v>
      </c>
    </row>
    <row r="319" spans="1:6" x14ac:dyDescent="0.3">
      <c r="A319" s="42"/>
      <c r="B319" s="58">
        <v>44738.720452777779</v>
      </c>
      <c r="C319" s="42" t="s">
        <v>3</v>
      </c>
      <c r="D319" s="42"/>
      <c r="E319" s="42"/>
      <c r="F319" s="42">
        <v>1141</v>
      </c>
    </row>
    <row r="320" spans="1:6" x14ac:dyDescent="0.3">
      <c r="A320" s="42" t="s">
        <v>5</v>
      </c>
      <c r="B320" s="58" t="s">
        <v>6</v>
      </c>
      <c r="C320" s="42" t="s">
        <v>7</v>
      </c>
      <c r="D320" s="42" t="s">
        <v>8</v>
      </c>
      <c r="E320" s="42" t="s">
        <v>9</v>
      </c>
      <c r="F320" s="42" t="s">
        <v>10</v>
      </c>
    </row>
    <row r="321" spans="1:6" x14ac:dyDescent="0.3">
      <c r="A321" s="42">
        <v>1001</v>
      </c>
      <c r="B321" s="58" t="s">
        <v>12</v>
      </c>
      <c r="C321" s="42" t="s">
        <v>44</v>
      </c>
      <c r="D321" s="42">
        <v>2</v>
      </c>
      <c r="E321" s="42">
        <v>3000</v>
      </c>
      <c r="F321" s="42">
        <v>6000</v>
      </c>
    </row>
    <row r="322" spans="1:6" x14ac:dyDescent="0.3">
      <c r="A322" s="42">
        <v>1002</v>
      </c>
      <c r="B322" s="58" t="s">
        <v>45</v>
      </c>
      <c r="C322" s="42" t="s">
        <v>44</v>
      </c>
      <c r="D322" s="42">
        <v>2</v>
      </c>
      <c r="E322" s="42">
        <v>750</v>
      </c>
      <c r="F322" s="42">
        <v>1500</v>
      </c>
    </row>
    <row r="323" spans="1:6" x14ac:dyDescent="0.3">
      <c r="A323" s="42">
        <v>1021</v>
      </c>
      <c r="B323" s="58" t="s">
        <v>64</v>
      </c>
      <c r="C323" s="42" t="s">
        <v>44</v>
      </c>
      <c r="D323" s="42">
        <v>10</v>
      </c>
      <c r="E323" s="42">
        <v>170</v>
      </c>
      <c r="F323" s="42">
        <v>1700</v>
      </c>
    </row>
    <row r="324" spans="1:6" x14ac:dyDescent="0.3">
      <c r="A324" s="42">
        <v>1026</v>
      </c>
      <c r="B324" s="58" t="s">
        <v>67</v>
      </c>
      <c r="C324" s="42" t="s">
        <v>44</v>
      </c>
      <c r="D324" s="42">
        <v>5</v>
      </c>
      <c r="E324" s="42">
        <v>60</v>
      </c>
      <c r="F324" s="42">
        <v>300</v>
      </c>
    </row>
    <row r="325" spans="1:6" x14ac:dyDescent="0.3">
      <c r="A325" s="42">
        <v>1027</v>
      </c>
      <c r="B325" s="58" t="s">
        <v>68</v>
      </c>
      <c r="C325" s="42" t="s">
        <v>44</v>
      </c>
      <c r="D325" s="42">
        <v>5</v>
      </c>
      <c r="E325" s="42">
        <v>20</v>
      </c>
      <c r="F325" s="42">
        <v>100</v>
      </c>
    </row>
    <row r="326" spans="1:6" x14ac:dyDescent="0.3">
      <c r="A326" s="42">
        <v>1030</v>
      </c>
      <c r="B326" s="58" t="s">
        <v>71</v>
      </c>
      <c r="C326" s="42" t="s">
        <v>44</v>
      </c>
      <c r="D326" s="42">
        <v>10</v>
      </c>
      <c r="E326" s="42">
        <v>100</v>
      </c>
      <c r="F326" s="42">
        <v>1000</v>
      </c>
    </row>
    <row r="327" spans="1:6" x14ac:dyDescent="0.3">
      <c r="A327" s="42">
        <v>1113</v>
      </c>
      <c r="B327" s="58" t="s">
        <v>123</v>
      </c>
      <c r="C327" s="42" t="s">
        <v>111</v>
      </c>
      <c r="D327" s="42">
        <v>3</v>
      </c>
      <c r="E327" s="42">
        <v>1000</v>
      </c>
      <c r="F327" s="42">
        <v>3000</v>
      </c>
    </row>
    <row r="328" spans="1:6" x14ac:dyDescent="0.3">
      <c r="A328" s="42">
        <v>1114</v>
      </c>
      <c r="B328" s="58" t="s">
        <v>124</v>
      </c>
      <c r="C328" s="42" t="s">
        <v>111</v>
      </c>
      <c r="D328" s="42">
        <v>2</v>
      </c>
      <c r="E328" s="42">
        <v>450</v>
      </c>
      <c r="F328" s="42">
        <v>900</v>
      </c>
    </row>
    <row r="329" spans="1:6" x14ac:dyDescent="0.3">
      <c r="A329" s="42">
        <v>1201</v>
      </c>
      <c r="B329" s="58" t="s">
        <v>147</v>
      </c>
      <c r="C329" s="42" t="s">
        <v>111</v>
      </c>
      <c r="D329" s="42">
        <v>1</v>
      </c>
      <c r="E329" s="42">
        <v>3000</v>
      </c>
      <c r="F329" s="42">
        <v>3000</v>
      </c>
    </row>
    <row r="330" spans="1:6" x14ac:dyDescent="0.3">
      <c r="A330" s="42">
        <v>1049</v>
      </c>
      <c r="B330" s="58" t="s">
        <v>91</v>
      </c>
      <c r="C330" s="42" t="s">
        <v>44</v>
      </c>
      <c r="D330" s="42">
        <v>2</v>
      </c>
      <c r="E330" s="42">
        <v>350</v>
      </c>
      <c r="F330" s="42">
        <v>700</v>
      </c>
    </row>
    <row r="331" spans="1:6" x14ac:dyDescent="0.3">
      <c r="A331" s="42"/>
      <c r="B331" s="58">
        <v>44738.722410185183</v>
      </c>
      <c r="C331" s="42" t="s">
        <v>3</v>
      </c>
      <c r="D331" s="42"/>
      <c r="E331" s="42"/>
      <c r="F331" s="42">
        <v>1142</v>
      </c>
    </row>
    <row r="332" spans="1:6" x14ac:dyDescent="0.3">
      <c r="A332" s="42" t="s">
        <v>5</v>
      </c>
      <c r="B332" s="58" t="s">
        <v>6</v>
      </c>
      <c r="C332" s="42" t="s">
        <v>7</v>
      </c>
      <c r="D332" s="42" t="s">
        <v>8</v>
      </c>
      <c r="E332" s="42" t="s">
        <v>9</v>
      </c>
      <c r="F332" s="42" t="s">
        <v>10</v>
      </c>
    </row>
    <row r="333" spans="1:6" x14ac:dyDescent="0.3">
      <c r="A333" s="42">
        <v>1026</v>
      </c>
      <c r="B333" s="58" t="s">
        <v>67</v>
      </c>
      <c r="C333" s="42" t="s">
        <v>44</v>
      </c>
      <c r="D333" s="42">
        <v>4</v>
      </c>
      <c r="E333" s="42">
        <v>60</v>
      </c>
      <c r="F333" s="42">
        <v>240</v>
      </c>
    </row>
    <row r="334" spans="1:6" x14ac:dyDescent="0.3">
      <c r="A334" s="42">
        <v>1030</v>
      </c>
      <c r="B334" s="58" t="s">
        <v>71</v>
      </c>
      <c r="C334" s="42" t="s">
        <v>44</v>
      </c>
      <c r="D334" s="42">
        <v>24</v>
      </c>
      <c r="E334" s="42">
        <v>100</v>
      </c>
      <c r="F334" s="42">
        <v>2400</v>
      </c>
    </row>
    <row r="335" spans="1:6" x14ac:dyDescent="0.3">
      <c r="A335" s="42">
        <v>1046</v>
      </c>
      <c r="B335" s="58" t="s">
        <v>88</v>
      </c>
      <c r="C335" s="42" t="s">
        <v>44</v>
      </c>
      <c r="D335" s="42">
        <v>1</v>
      </c>
      <c r="E335" s="42">
        <v>125</v>
      </c>
      <c r="F335" s="42">
        <v>125</v>
      </c>
    </row>
    <row r="336" spans="1:6" x14ac:dyDescent="0.3">
      <c r="A336" s="42">
        <v>1047</v>
      </c>
      <c r="B336" s="58" t="s">
        <v>89</v>
      </c>
      <c r="C336" s="42" t="s">
        <v>44</v>
      </c>
      <c r="D336" s="42">
        <v>1</v>
      </c>
      <c r="E336" s="42">
        <v>125</v>
      </c>
      <c r="F336" s="42">
        <v>125</v>
      </c>
    </row>
    <row r="337" spans="1:6" x14ac:dyDescent="0.3">
      <c r="A337" s="42">
        <v>1201</v>
      </c>
      <c r="B337" s="58" t="s">
        <v>147</v>
      </c>
      <c r="C337" s="42" t="s">
        <v>111</v>
      </c>
      <c r="D337" s="42">
        <v>1</v>
      </c>
      <c r="E337" s="42">
        <v>3000</v>
      </c>
      <c r="F337" s="42">
        <v>3000</v>
      </c>
    </row>
    <row r="338" spans="1:6" x14ac:dyDescent="0.3">
      <c r="A338" s="42"/>
      <c r="B338" s="58">
        <v>44738.725486805553</v>
      </c>
      <c r="C338" s="42" t="s">
        <v>3</v>
      </c>
      <c r="D338" s="42"/>
      <c r="E338" s="42"/>
      <c r="F338" s="42">
        <v>1143</v>
      </c>
    </row>
    <row r="339" spans="1:6" x14ac:dyDescent="0.3">
      <c r="A339" s="42" t="s">
        <v>5</v>
      </c>
      <c r="B339" s="58" t="s">
        <v>6</v>
      </c>
      <c r="C339" s="42" t="s">
        <v>7</v>
      </c>
      <c r="D339" s="42" t="s">
        <v>8</v>
      </c>
      <c r="E339" s="42" t="s">
        <v>9</v>
      </c>
      <c r="F339" s="42" t="s">
        <v>10</v>
      </c>
    </row>
    <row r="340" spans="1:6" x14ac:dyDescent="0.3">
      <c r="A340" s="42">
        <v>1036</v>
      </c>
      <c r="B340" s="58" t="s">
        <v>77</v>
      </c>
      <c r="C340" s="42" t="s">
        <v>44</v>
      </c>
      <c r="D340" s="42">
        <v>10</v>
      </c>
      <c r="E340" s="42">
        <v>10</v>
      </c>
      <c r="F340" s="42">
        <v>100</v>
      </c>
    </row>
    <row r="341" spans="1:6" x14ac:dyDescent="0.3">
      <c r="A341" s="42"/>
      <c r="B341" s="58">
        <v>44738.734623495373</v>
      </c>
      <c r="C341" s="42" t="s">
        <v>3</v>
      </c>
      <c r="D341" s="42"/>
      <c r="E341" s="42"/>
      <c r="F341" s="42">
        <v>1144</v>
      </c>
    </row>
    <row r="342" spans="1:6" x14ac:dyDescent="0.3">
      <c r="A342" s="42" t="s">
        <v>5</v>
      </c>
      <c r="B342" s="58" t="s">
        <v>6</v>
      </c>
      <c r="C342" s="42" t="s">
        <v>7</v>
      </c>
      <c r="D342" s="42" t="s">
        <v>8</v>
      </c>
      <c r="E342" s="42" t="s">
        <v>9</v>
      </c>
      <c r="F342" s="42" t="s">
        <v>10</v>
      </c>
    </row>
    <row r="343" spans="1:6" x14ac:dyDescent="0.3">
      <c r="A343" s="42">
        <v>1031</v>
      </c>
      <c r="B343" s="58" t="s">
        <v>72</v>
      </c>
      <c r="C343" s="42" t="s">
        <v>44</v>
      </c>
      <c r="D343" s="42">
        <v>50</v>
      </c>
      <c r="E343" s="42">
        <v>80</v>
      </c>
      <c r="F343" s="42">
        <v>4000</v>
      </c>
    </row>
    <row r="344" spans="1:6" x14ac:dyDescent="0.3">
      <c r="A344" s="42"/>
      <c r="B344" s="58">
        <v>44738.751400925925</v>
      </c>
      <c r="C344" s="42" t="s">
        <v>3</v>
      </c>
      <c r="D344" s="42"/>
      <c r="E344" s="42"/>
      <c r="F344" s="42">
        <v>1145</v>
      </c>
    </row>
    <row r="345" spans="1:6" x14ac:dyDescent="0.3">
      <c r="A345" s="42" t="s">
        <v>5</v>
      </c>
      <c r="B345" s="58" t="s">
        <v>6</v>
      </c>
      <c r="C345" s="42" t="s">
        <v>7</v>
      </c>
      <c r="D345" s="42" t="s">
        <v>8</v>
      </c>
      <c r="E345" s="42" t="s">
        <v>9</v>
      </c>
      <c r="F345" s="42" t="s">
        <v>10</v>
      </c>
    </row>
    <row r="346" spans="1:6" x14ac:dyDescent="0.3">
      <c r="A346" s="42">
        <v>1201</v>
      </c>
      <c r="B346" s="58" t="s">
        <v>147</v>
      </c>
      <c r="C346" s="42" t="s">
        <v>111</v>
      </c>
      <c r="D346" s="42">
        <v>1</v>
      </c>
      <c r="E346" s="42">
        <v>3000</v>
      </c>
      <c r="F346" s="42">
        <v>3000</v>
      </c>
    </row>
    <row r="347" spans="1:6" x14ac:dyDescent="0.3">
      <c r="A347" s="42">
        <v>1021</v>
      </c>
      <c r="B347" s="58" t="s">
        <v>64</v>
      </c>
      <c r="C347" s="42" t="s">
        <v>44</v>
      </c>
      <c r="D347" s="42">
        <v>5</v>
      </c>
      <c r="E347" s="42">
        <v>170</v>
      </c>
      <c r="F347" s="42">
        <v>850</v>
      </c>
    </row>
    <row r="348" spans="1:6" x14ac:dyDescent="0.3">
      <c r="A348" s="42">
        <v>1113</v>
      </c>
      <c r="B348" s="58" t="s">
        <v>123</v>
      </c>
      <c r="C348" s="42" t="s">
        <v>111</v>
      </c>
      <c r="D348" s="42">
        <v>2</v>
      </c>
      <c r="E348" s="42">
        <v>1000</v>
      </c>
      <c r="F348" s="42">
        <v>2000</v>
      </c>
    </row>
    <row r="349" spans="1:6" x14ac:dyDescent="0.3">
      <c r="A349" s="42"/>
      <c r="B349" s="58">
        <v>44738.76295034722</v>
      </c>
      <c r="C349" s="42" t="s">
        <v>3</v>
      </c>
      <c r="D349" s="42"/>
      <c r="E349" s="42"/>
      <c r="F349" s="42">
        <v>1146</v>
      </c>
    </row>
    <row r="350" spans="1:6" x14ac:dyDescent="0.3">
      <c r="A350" s="42" t="s">
        <v>5</v>
      </c>
      <c r="B350" s="58" t="s">
        <v>6</v>
      </c>
      <c r="C350" s="42" t="s">
        <v>7</v>
      </c>
      <c r="D350" s="42" t="s">
        <v>8</v>
      </c>
      <c r="E350" s="42" t="s">
        <v>9</v>
      </c>
      <c r="F350" s="42" t="s">
        <v>10</v>
      </c>
    </row>
    <row r="351" spans="1:6" x14ac:dyDescent="0.3">
      <c r="A351" s="42">
        <v>1031</v>
      </c>
      <c r="B351" s="58" t="s">
        <v>72</v>
      </c>
      <c r="C351" s="42" t="s">
        <v>44</v>
      </c>
      <c r="D351" s="42">
        <v>15</v>
      </c>
      <c r="E351" s="42">
        <v>80</v>
      </c>
      <c r="F351" s="42">
        <v>1200</v>
      </c>
    </row>
    <row r="352" spans="1:6" x14ac:dyDescent="0.3">
      <c r="A352" s="42"/>
      <c r="B352" s="58">
        <v>44738.771880555556</v>
      </c>
      <c r="C352" s="42" t="s">
        <v>3</v>
      </c>
      <c r="D352" s="42"/>
      <c r="E352" s="42"/>
      <c r="F352" s="42">
        <v>1147</v>
      </c>
    </row>
    <row r="353" spans="1:6" x14ac:dyDescent="0.3">
      <c r="A353" s="42" t="s">
        <v>5</v>
      </c>
      <c r="B353" s="58" t="s">
        <v>6</v>
      </c>
      <c r="C353" s="42" t="s">
        <v>7</v>
      </c>
      <c r="D353" s="42" t="s">
        <v>8</v>
      </c>
      <c r="E353" s="42" t="s">
        <v>9</v>
      </c>
      <c r="F353" s="42" t="s">
        <v>10</v>
      </c>
    </row>
    <row r="354" spans="1:6" x14ac:dyDescent="0.3">
      <c r="A354" s="42">
        <v>1048</v>
      </c>
      <c r="B354" s="58" t="s">
        <v>90</v>
      </c>
      <c r="C354" s="42" t="s">
        <v>44</v>
      </c>
      <c r="D354" s="42">
        <v>1</v>
      </c>
      <c r="E354" s="42">
        <v>250</v>
      </c>
      <c r="F354" s="42">
        <v>250</v>
      </c>
    </row>
    <row r="355" spans="1:6" x14ac:dyDescent="0.3">
      <c r="A355" s="42">
        <v>1026</v>
      </c>
      <c r="B355" s="58" t="s">
        <v>67</v>
      </c>
      <c r="C355" s="42" t="s">
        <v>44</v>
      </c>
      <c r="D355" s="42">
        <v>20</v>
      </c>
      <c r="E355" s="42">
        <v>60</v>
      </c>
      <c r="F355" s="42">
        <v>1200</v>
      </c>
    </row>
    <row r="356" spans="1:6" x14ac:dyDescent="0.3">
      <c r="A356" s="42">
        <v>1133</v>
      </c>
      <c r="B356" s="58" t="s">
        <v>144</v>
      </c>
      <c r="C356" s="42" t="s">
        <v>111</v>
      </c>
      <c r="D356" s="42">
        <v>1</v>
      </c>
      <c r="E356" s="42">
        <v>130</v>
      </c>
      <c r="F356" s="42">
        <v>130</v>
      </c>
    </row>
    <row r="357" spans="1:6" x14ac:dyDescent="0.3">
      <c r="A357" s="42">
        <v>1038</v>
      </c>
      <c r="B357" s="58" t="s">
        <v>80</v>
      </c>
      <c r="C357" s="42" t="s">
        <v>44</v>
      </c>
      <c r="D357" s="42">
        <v>5</v>
      </c>
      <c r="E357" s="42">
        <v>10</v>
      </c>
      <c r="F357" s="42">
        <v>50</v>
      </c>
    </row>
    <row r="358" spans="1:6" x14ac:dyDescent="0.3">
      <c r="A358" s="42">
        <v>1044</v>
      </c>
      <c r="B358" s="58" t="s">
        <v>86</v>
      </c>
      <c r="C358" s="42" t="s">
        <v>44</v>
      </c>
      <c r="D358" s="42">
        <v>2</v>
      </c>
      <c r="E358" s="42">
        <v>40</v>
      </c>
      <c r="F358" s="42">
        <v>80</v>
      </c>
    </row>
    <row r="359" spans="1:6" x14ac:dyDescent="0.3">
      <c r="A359" s="42">
        <v>1045</v>
      </c>
      <c r="B359" s="58" t="s">
        <v>87</v>
      </c>
      <c r="C359" s="42" t="s">
        <v>44</v>
      </c>
      <c r="D359" s="42">
        <v>2</v>
      </c>
      <c r="E359" s="42">
        <v>30</v>
      </c>
      <c r="F359" s="42">
        <v>60</v>
      </c>
    </row>
    <row r="360" spans="1:6" x14ac:dyDescent="0.3">
      <c r="A360" s="42">
        <v>1309</v>
      </c>
      <c r="B360" s="58" t="s">
        <v>160</v>
      </c>
      <c r="C360" s="42" t="s">
        <v>111</v>
      </c>
      <c r="D360" s="42">
        <v>1</v>
      </c>
      <c r="E360" s="42">
        <v>40</v>
      </c>
      <c r="F360" s="42">
        <v>40</v>
      </c>
    </row>
    <row r="361" spans="1:6" x14ac:dyDescent="0.3">
      <c r="A361" s="42">
        <v>1318</v>
      </c>
      <c r="B361" s="58" t="s">
        <v>169</v>
      </c>
      <c r="C361" s="42" t="s">
        <v>111</v>
      </c>
      <c r="D361" s="42">
        <v>1</v>
      </c>
      <c r="E361" s="42">
        <v>100</v>
      </c>
      <c r="F361" s="42">
        <v>100</v>
      </c>
    </row>
    <row r="362" spans="1:6" x14ac:dyDescent="0.3">
      <c r="A362" s="42">
        <v>1319</v>
      </c>
      <c r="B362" s="58" t="s">
        <v>170</v>
      </c>
      <c r="C362" s="42" t="s">
        <v>111</v>
      </c>
      <c r="D362" s="42">
        <v>1</v>
      </c>
      <c r="E362" s="42">
        <v>30</v>
      </c>
      <c r="F362" s="42">
        <v>30</v>
      </c>
    </row>
    <row r="363" spans="1:6" x14ac:dyDescent="0.3">
      <c r="A363" s="42"/>
      <c r="B363" s="58">
        <v>44738.785018055554</v>
      </c>
      <c r="C363" s="42" t="s">
        <v>3</v>
      </c>
      <c r="D363" s="42"/>
      <c r="E363" s="42"/>
      <c r="F363" s="42">
        <v>1148</v>
      </c>
    </row>
    <row r="364" spans="1:6" x14ac:dyDescent="0.3">
      <c r="A364" s="42" t="s">
        <v>5</v>
      </c>
      <c r="B364" s="58" t="s">
        <v>6</v>
      </c>
      <c r="C364" s="42" t="s">
        <v>7</v>
      </c>
      <c r="D364" s="42" t="s">
        <v>8</v>
      </c>
      <c r="E364" s="42" t="s">
        <v>9</v>
      </c>
      <c r="F364" s="42" t="s">
        <v>10</v>
      </c>
    </row>
    <row r="365" spans="1:6" x14ac:dyDescent="0.3">
      <c r="A365" s="42">
        <v>1113</v>
      </c>
      <c r="B365" s="58" t="s">
        <v>123</v>
      </c>
      <c r="C365" s="42" t="s">
        <v>111</v>
      </c>
      <c r="D365" s="42">
        <v>4</v>
      </c>
      <c r="E365" s="42">
        <v>1000</v>
      </c>
      <c r="F365" s="42">
        <v>4000</v>
      </c>
    </row>
    <row r="366" spans="1:6" x14ac:dyDescent="0.3">
      <c r="A366" s="42"/>
      <c r="B366" s="58">
        <v>44738.786591666663</v>
      </c>
      <c r="C366" s="42" t="s">
        <v>3</v>
      </c>
      <c r="D366" s="42"/>
      <c r="E366" s="42"/>
      <c r="F366" s="42">
        <v>1149</v>
      </c>
    </row>
    <row r="367" spans="1:6" x14ac:dyDescent="0.3">
      <c r="A367" s="42" t="s">
        <v>5</v>
      </c>
      <c r="B367" s="58" t="s">
        <v>6</v>
      </c>
      <c r="C367" s="42" t="s">
        <v>7</v>
      </c>
      <c r="D367" s="42" t="s">
        <v>8</v>
      </c>
      <c r="E367" s="42" t="s">
        <v>9</v>
      </c>
      <c r="F367" s="42" t="s">
        <v>10</v>
      </c>
    </row>
    <row r="368" spans="1:6" x14ac:dyDescent="0.3">
      <c r="A368" s="42">
        <v>1064</v>
      </c>
      <c r="B368" s="58" t="s">
        <v>106</v>
      </c>
      <c r="C368" s="42" t="s">
        <v>44</v>
      </c>
      <c r="D368" s="42">
        <v>1</v>
      </c>
      <c r="E368" s="42">
        <v>150</v>
      </c>
      <c r="F368" s="42">
        <v>150</v>
      </c>
    </row>
    <row r="369" spans="1:6" x14ac:dyDescent="0.3">
      <c r="A369" s="42">
        <v>1314</v>
      </c>
      <c r="B369" s="58" t="s">
        <v>165</v>
      </c>
      <c r="C369" s="42" t="s">
        <v>111</v>
      </c>
      <c r="D369" s="42">
        <v>1</v>
      </c>
      <c r="E369" s="42">
        <v>1150</v>
      </c>
      <c r="F369" s="42">
        <v>1150</v>
      </c>
    </row>
    <row r="370" spans="1:6" x14ac:dyDescent="0.3">
      <c r="A370" s="42">
        <v>1312</v>
      </c>
      <c r="B370" s="58" t="s">
        <v>163</v>
      </c>
      <c r="C370" s="42" t="s">
        <v>111</v>
      </c>
      <c r="D370" s="42">
        <v>1</v>
      </c>
      <c r="E370" s="42">
        <v>120</v>
      </c>
      <c r="F370" s="42">
        <v>120</v>
      </c>
    </row>
    <row r="371" spans="1:6" x14ac:dyDescent="0.3">
      <c r="A371" s="42"/>
      <c r="B371" s="58">
        <v>44738.787549189816</v>
      </c>
      <c r="C371" s="42" t="s">
        <v>3</v>
      </c>
      <c r="D371" s="42"/>
      <c r="E371" s="42"/>
      <c r="F371" s="42">
        <v>1150</v>
      </c>
    </row>
    <row r="372" spans="1:6" x14ac:dyDescent="0.3">
      <c r="A372" s="42" t="s">
        <v>5</v>
      </c>
      <c r="B372" s="58" t="s">
        <v>6</v>
      </c>
      <c r="C372" s="42" t="s">
        <v>7</v>
      </c>
      <c r="D372" s="42" t="s">
        <v>8</v>
      </c>
      <c r="E372" s="42" t="s">
        <v>9</v>
      </c>
      <c r="F372" s="42" t="s">
        <v>10</v>
      </c>
    </row>
    <row r="373" spans="1:6" x14ac:dyDescent="0.3">
      <c r="A373" s="42">
        <v>1026</v>
      </c>
      <c r="B373" s="58" t="s">
        <v>67</v>
      </c>
      <c r="C373" s="42" t="s">
        <v>44</v>
      </c>
      <c r="D373" s="42">
        <v>1</v>
      </c>
      <c r="E373" s="42">
        <v>60</v>
      </c>
      <c r="F373" s="42">
        <v>60</v>
      </c>
    </row>
    <row r="374" spans="1:6" x14ac:dyDescent="0.3">
      <c r="A374" s="42">
        <v>1027</v>
      </c>
      <c r="B374" s="58" t="s">
        <v>68</v>
      </c>
      <c r="C374" s="42" t="s">
        <v>44</v>
      </c>
      <c r="D374" s="42">
        <v>1</v>
      </c>
      <c r="E374" s="42">
        <v>20</v>
      </c>
      <c r="F374" s="42">
        <v>20</v>
      </c>
    </row>
    <row r="375" spans="1:6" x14ac:dyDescent="0.3">
      <c r="A375" s="42">
        <v>1028</v>
      </c>
      <c r="B375" s="58" t="s">
        <v>69</v>
      </c>
      <c r="C375" s="42" t="s">
        <v>44</v>
      </c>
      <c r="D375" s="42">
        <v>1</v>
      </c>
      <c r="E375" s="42">
        <v>40</v>
      </c>
      <c r="F375" s="42">
        <v>40</v>
      </c>
    </row>
    <row r="376" spans="1:6" x14ac:dyDescent="0.3">
      <c r="A376" s="42">
        <v>1029</v>
      </c>
      <c r="B376" s="58" t="s">
        <v>70</v>
      </c>
      <c r="C376" s="42" t="s">
        <v>44</v>
      </c>
      <c r="D376" s="42">
        <v>1</v>
      </c>
      <c r="E376" s="42">
        <v>40</v>
      </c>
      <c r="F376" s="42">
        <v>40</v>
      </c>
    </row>
    <row r="377" spans="1:6" x14ac:dyDescent="0.3">
      <c r="A377" s="42">
        <v>1048</v>
      </c>
      <c r="B377" s="58" t="s">
        <v>90</v>
      </c>
      <c r="C377" s="42" t="s">
        <v>44</v>
      </c>
      <c r="D377" s="42">
        <v>1</v>
      </c>
      <c r="E377" s="42">
        <v>250</v>
      </c>
      <c r="F377" s="42">
        <v>250</v>
      </c>
    </row>
    <row r="378" spans="1:6" x14ac:dyDescent="0.3">
      <c r="A378" s="42">
        <v>1103</v>
      </c>
      <c r="B378" s="58" t="s">
        <v>113</v>
      </c>
      <c r="C378" s="42" t="s">
        <v>111</v>
      </c>
      <c r="D378" s="42">
        <v>2</v>
      </c>
      <c r="E378" s="42">
        <v>30</v>
      </c>
      <c r="F378" s="42">
        <v>60</v>
      </c>
    </row>
    <row r="379" spans="1:6" x14ac:dyDescent="0.3">
      <c r="A379" s="42">
        <v>1106</v>
      </c>
      <c r="B379" s="58" t="s">
        <v>116</v>
      </c>
      <c r="C379" s="42" t="s">
        <v>111</v>
      </c>
      <c r="D379" s="42">
        <v>5</v>
      </c>
      <c r="E379" s="42">
        <v>45</v>
      </c>
      <c r="F379" s="42">
        <v>225</v>
      </c>
    </row>
    <row r="380" spans="1:6" x14ac:dyDescent="0.3">
      <c r="A380" s="42"/>
      <c r="B380" s="58">
        <v>44739.453713657407</v>
      </c>
      <c r="C380" s="42" t="s">
        <v>3</v>
      </c>
      <c r="D380" s="42"/>
      <c r="E380" s="42"/>
      <c r="F380" s="42">
        <v>1151</v>
      </c>
    </row>
    <row r="381" spans="1:6" x14ac:dyDescent="0.3">
      <c r="A381" s="42" t="s">
        <v>5</v>
      </c>
      <c r="B381" s="58" t="s">
        <v>6</v>
      </c>
      <c r="C381" s="42" t="s">
        <v>7</v>
      </c>
      <c r="D381" s="42" t="s">
        <v>8</v>
      </c>
      <c r="E381" s="42" t="s">
        <v>9</v>
      </c>
      <c r="F381" s="42" t="s">
        <v>10</v>
      </c>
    </row>
    <row r="382" spans="1:6" x14ac:dyDescent="0.3">
      <c r="A382" s="42">
        <v>1046</v>
      </c>
      <c r="B382" s="58" t="s">
        <v>88</v>
      </c>
      <c r="C382" s="42" t="s">
        <v>44</v>
      </c>
      <c r="D382" s="42">
        <v>1</v>
      </c>
      <c r="E382" s="42">
        <v>125</v>
      </c>
      <c r="F382" s="42">
        <v>125</v>
      </c>
    </row>
    <row r="383" spans="1:6" x14ac:dyDescent="0.3">
      <c r="A383" s="42">
        <v>1047</v>
      </c>
      <c r="B383" s="58" t="s">
        <v>89</v>
      </c>
      <c r="C383" s="42" t="s">
        <v>44</v>
      </c>
      <c r="D383" s="42">
        <v>1</v>
      </c>
      <c r="E383" s="42">
        <v>125</v>
      </c>
      <c r="F383" s="42">
        <v>125</v>
      </c>
    </row>
    <row r="384" spans="1:6" x14ac:dyDescent="0.3">
      <c r="A384" s="42">
        <v>1049</v>
      </c>
      <c r="B384" s="58" t="s">
        <v>91</v>
      </c>
      <c r="C384" s="42" t="s">
        <v>44</v>
      </c>
      <c r="D384" s="42">
        <v>1</v>
      </c>
      <c r="E384" s="42">
        <v>350</v>
      </c>
      <c r="F384" s="42">
        <v>350</v>
      </c>
    </row>
    <row r="385" spans="1:6" x14ac:dyDescent="0.3">
      <c r="A385" s="42">
        <v>1053</v>
      </c>
      <c r="B385" s="58" t="s">
        <v>95</v>
      </c>
      <c r="C385" s="42" t="s">
        <v>44</v>
      </c>
      <c r="D385" s="42">
        <v>1</v>
      </c>
      <c r="E385" s="42">
        <v>150</v>
      </c>
      <c r="F385" s="42">
        <v>150</v>
      </c>
    </row>
    <row r="386" spans="1:6" x14ac:dyDescent="0.3">
      <c r="A386" s="42">
        <v>1134</v>
      </c>
      <c r="B386" s="58" t="s">
        <v>145</v>
      </c>
      <c r="C386" s="42" t="s">
        <v>111</v>
      </c>
      <c r="D386" s="42">
        <v>1</v>
      </c>
      <c r="E386" s="42">
        <v>150</v>
      </c>
      <c r="F386" s="42">
        <v>150</v>
      </c>
    </row>
    <row r="387" spans="1:6" x14ac:dyDescent="0.3">
      <c r="A387" s="42"/>
      <c r="B387" s="58">
        <v>44739.463007754632</v>
      </c>
      <c r="C387" s="42" t="s">
        <v>3</v>
      </c>
      <c r="D387" s="42"/>
      <c r="E387" s="42"/>
      <c r="F387" s="42">
        <v>1154</v>
      </c>
    </row>
    <row r="388" spans="1:6" x14ac:dyDescent="0.3">
      <c r="A388" s="42" t="s">
        <v>5</v>
      </c>
      <c r="B388" s="58" t="s">
        <v>6</v>
      </c>
      <c r="C388" s="42" t="s">
        <v>7</v>
      </c>
      <c r="D388" s="42" t="s">
        <v>8</v>
      </c>
      <c r="E388" s="42" t="s">
        <v>9</v>
      </c>
      <c r="F388" s="42" t="s">
        <v>10</v>
      </c>
    </row>
    <row r="389" spans="1:6" x14ac:dyDescent="0.3">
      <c r="A389" s="42">
        <v>1030</v>
      </c>
      <c r="B389" s="58" t="s">
        <v>71</v>
      </c>
      <c r="C389" s="42" t="s">
        <v>44</v>
      </c>
      <c r="D389" s="42">
        <v>30</v>
      </c>
      <c r="E389" s="42">
        <v>100</v>
      </c>
      <c r="F389" s="42">
        <v>3000</v>
      </c>
    </row>
    <row r="390" spans="1:6" x14ac:dyDescent="0.3">
      <c r="A390" s="42">
        <v>1049</v>
      </c>
      <c r="B390" s="58" t="s">
        <v>91</v>
      </c>
      <c r="C390" s="42" t="s">
        <v>44</v>
      </c>
      <c r="D390" s="42">
        <v>1</v>
      </c>
      <c r="E390" s="42">
        <v>350</v>
      </c>
      <c r="F390" s="42">
        <v>350</v>
      </c>
    </row>
    <row r="391" spans="1:6" x14ac:dyDescent="0.3">
      <c r="A391" s="42">
        <v>1101</v>
      </c>
      <c r="B391" s="58" t="s">
        <v>110</v>
      </c>
      <c r="C391" s="42" t="s">
        <v>111</v>
      </c>
      <c r="D391" s="42">
        <v>6</v>
      </c>
      <c r="E391" s="42">
        <v>125</v>
      </c>
      <c r="F391" s="42">
        <v>750</v>
      </c>
    </row>
    <row r="392" spans="1:6" x14ac:dyDescent="0.3">
      <c r="A392" s="42">
        <v>1132</v>
      </c>
      <c r="B392" s="58" t="s">
        <v>143</v>
      </c>
      <c r="C392" s="42" t="s">
        <v>111</v>
      </c>
      <c r="D392" s="42">
        <v>1</v>
      </c>
      <c r="E392" s="42">
        <v>150</v>
      </c>
      <c r="F392" s="42">
        <v>150</v>
      </c>
    </row>
    <row r="393" spans="1:6" x14ac:dyDescent="0.3">
      <c r="A393" s="42">
        <v>1134</v>
      </c>
      <c r="B393" s="58" t="s">
        <v>145</v>
      </c>
      <c r="C393" s="42" t="s">
        <v>111</v>
      </c>
      <c r="D393" s="42">
        <v>1</v>
      </c>
      <c r="E393" s="42">
        <v>150</v>
      </c>
      <c r="F393" s="42">
        <v>150</v>
      </c>
    </row>
    <row r="394" spans="1:6" x14ac:dyDescent="0.3">
      <c r="A394" s="42"/>
      <c r="B394" s="58">
        <v>44739.464690856483</v>
      </c>
      <c r="C394" s="42" t="s">
        <v>3</v>
      </c>
      <c r="D394" s="42"/>
      <c r="E394" s="42"/>
      <c r="F394" s="42">
        <v>1155</v>
      </c>
    </row>
    <row r="395" spans="1:6" x14ac:dyDescent="0.3">
      <c r="A395" s="42" t="s">
        <v>5</v>
      </c>
      <c r="B395" s="58" t="s">
        <v>6</v>
      </c>
      <c r="C395" s="42" t="s">
        <v>7</v>
      </c>
      <c r="D395" s="42" t="s">
        <v>8</v>
      </c>
      <c r="E395" s="42" t="s">
        <v>9</v>
      </c>
      <c r="F395" s="42" t="s">
        <v>10</v>
      </c>
    </row>
    <row r="396" spans="1:6" x14ac:dyDescent="0.3">
      <c r="A396" s="42">
        <v>1029</v>
      </c>
      <c r="B396" s="58" t="s">
        <v>70</v>
      </c>
      <c r="C396" s="42" t="s">
        <v>44</v>
      </c>
      <c r="D396" s="42">
        <v>2</v>
      </c>
      <c r="E396" s="42">
        <v>40</v>
      </c>
      <c r="F396" s="42">
        <v>80</v>
      </c>
    </row>
    <row r="397" spans="1:6" x14ac:dyDescent="0.3">
      <c r="A397" s="42">
        <v>1030</v>
      </c>
      <c r="B397" s="58" t="s">
        <v>71</v>
      </c>
      <c r="C397" s="42" t="s">
        <v>44</v>
      </c>
      <c r="D397" s="42">
        <v>35</v>
      </c>
      <c r="E397" s="42">
        <v>100</v>
      </c>
      <c r="F397" s="42">
        <v>3500</v>
      </c>
    </row>
    <row r="398" spans="1:6" x14ac:dyDescent="0.3">
      <c r="A398" s="42">
        <v>1103</v>
      </c>
      <c r="B398" s="58" t="s">
        <v>113</v>
      </c>
      <c r="C398" s="42" t="s">
        <v>111</v>
      </c>
      <c r="D398" s="42">
        <v>2</v>
      </c>
      <c r="E398" s="42">
        <v>30</v>
      </c>
      <c r="F398" s="42">
        <v>60</v>
      </c>
    </row>
    <row r="399" spans="1:6" x14ac:dyDescent="0.3">
      <c r="A399" s="42">
        <v>1106</v>
      </c>
      <c r="B399" s="58" t="s">
        <v>116</v>
      </c>
      <c r="C399" s="42" t="s">
        <v>111</v>
      </c>
      <c r="D399" s="42">
        <v>2</v>
      </c>
      <c r="E399" s="42">
        <v>45</v>
      </c>
      <c r="F399" s="42">
        <v>90</v>
      </c>
    </row>
    <row r="400" spans="1:6" x14ac:dyDescent="0.3">
      <c r="A400" s="42">
        <v>1113</v>
      </c>
      <c r="B400" s="58" t="s">
        <v>123</v>
      </c>
      <c r="C400" s="42" t="s">
        <v>111</v>
      </c>
      <c r="D400" s="42">
        <v>2</v>
      </c>
      <c r="E400" s="42">
        <v>1000</v>
      </c>
      <c r="F400" s="42">
        <v>2000</v>
      </c>
    </row>
    <row r="401" spans="1:6" x14ac:dyDescent="0.3">
      <c r="A401" s="42"/>
      <c r="B401" s="58">
        <v>44739.466307523151</v>
      </c>
      <c r="C401" s="42" t="s">
        <v>3</v>
      </c>
      <c r="D401" s="42"/>
      <c r="E401" s="42"/>
      <c r="F401" s="42">
        <v>1156</v>
      </c>
    </row>
    <row r="402" spans="1:6" x14ac:dyDescent="0.3">
      <c r="A402" s="42" t="s">
        <v>5</v>
      </c>
      <c r="B402" s="58" t="s">
        <v>6</v>
      </c>
      <c r="C402" s="42" t="s">
        <v>7</v>
      </c>
      <c r="D402" s="42" t="s">
        <v>8</v>
      </c>
      <c r="E402" s="42" t="s">
        <v>9</v>
      </c>
      <c r="F402" s="42" t="s">
        <v>10</v>
      </c>
    </row>
    <row r="403" spans="1:6" x14ac:dyDescent="0.3">
      <c r="A403" s="42">
        <v>1030</v>
      </c>
      <c r="B403" s="58" t="s">
        <v>71</v>
      </c>
      <c r="C403" s="42" t="s">
        <v>44</v>
      </c>
      <c r="D403" s="42">
        <v>30</v>
      </c>
      <c r="E403" s="42">
        <v>100</v>
      </c>
      <c r="F403" s="42">
        <v>3000</v>
      </c>
    </row>
    <row r="404" spans="1:6" x14ac:dyDescent="0.3">
      <c r="A404" s="42">
        <v>1049</v>
      </c>
      <c r="B404" s="58" t="s">
        <v>91</v>
      </c>
      <c r="C404" s="42" t="s">
        <v>44</v>
      </c>
      <c r="D404" s="42">
        <v>1</v>
      </c>
      <c r="E404" s="42">
        <v>350</v>
      </c>
      <c r="F404" s="42">
        <v>350</v>
      </c>
    </row>
    <row r="405" spans="1:6" x14ac:dyDescent="0.3">
      <c r="A405" s="42">
        <v>1103</v>
      </c>
      <c r="B405" s="58" t="s">
        <v>113</v>
      </c>
      <c r="C405" s="42" t="s">
        <v>111</v>
      </c>
      <c r="D405" s="42">
        <v>2</v>
      </c>
      <c r="E405" s="42">
        <v>30</v>
      </c>
      <c r="F405" s="42">
        <v>60</v>
      </c>
    </row>
    <row r="406" spans="1:6" x14ac:dyDescent="0.3">
      <c r="A406" s="42">
        <v>1106</v>
      </c>
      <c r="B406" s="58" t="s">
        <v>116</v>
      </c>
      <c r="C406" s="42" t="s">
        <v>111</v>
      </c>
      <c r="D406" s="42">
        <v>2</v>
      </c>
      <c r="E406" s="42">
        <v>45</v>
      </c>
      <c r="F406" s="42">
        <v>90</v>
      </c>
    </row>
    <row r="407" spans="1:6" x14ac:dyDescent="0.3">
      <c r="A407" s="42">
        <v>1113</v>
      </c>
      <c r="B407" s="58" t="s">
        <v>123</v>
      </c>
      <c r="C407" s="42" t="s">
        <v>111</v>
      </c>
      <c r="D407" s="42">
        <v>2</v>
      </c>
      <c r="E407" s="42">
        <v>1000</v>
      </c>
      <c r="F407" s="42">
        <v>2000</v>
      </c>
    </row>
    <row r="408" spans="1:6" x14ac:dyDescent="0.3">
      <c r="A408" s="42">
        <v>1130</v>
      </c>
      <c r="B408" s="58" t="s">
        <v>141</v>
      </c>
      <c r="C408" s="42" t="s">
        <v>111</v>
      </c>
      <c r="D408" s="42">
        <v>1</v>
      </c>
      <c r="E408" s="42">
        <v>80</v>
      </c>
      <c r="F408" s="42">
        <v>80</v>
      </c>
    </row>
    <row r="409" spans="1:6" x14ac:dyDescent="0.3">
      <c r="A409" s="42"/>
      <c r="B409" s="58">
        <v>44739.482168981478</v>
      </c>
      <c r="C409" s="42" t="s">
        <v>3</v>
      </c>
      <c r="D409" s="42"/>
      <c r="E409" s="42"/>
      <c r="F409" s="42">
        <v>1157</v>
      </c>
    </row>
    <row r="410" spans="1:6" x14ac:dyDescent="0.3">
      <c r="A410" s="42" t="s">
        <v>5</v>
      </c>
      <c r="B410" s="58" t="s">
        <v>6</v>
      </c>
      <c r="C410" s="42" t="s">
        <v>7</v>
      </c>
      <c r="D410" s="42" t="s">
        <v>8</v>
      </c>
      <c r="E410" s="42" t="s">
        <v>9</v>
      </c>
      <c r="F410" s="42" t="s">
        <v>10</v>
      </c>
    </row>
    <row r="411" spans="1:6" x14ac:dyDescent="0.3">
      <c r="A411" s="42">
        <v>1002</v>
      </c>
      <c r="B411" s="58" t="s">
        <v>45</v>
      </c>
      <c r="C411" s="42" t="s">
        <v>44</v>
      </c>
      <c r="D411" s="42">
        <v>4</v>
      </c>
      <c r="E411" s="42">
        <v>750</v>
      </c>
      <c r="F411" s="42">
        <v>3000</v>
      </c>
    </row>
    <row r="412" spans="1:6" x14ac:dyDescent="0.3">
      <c r="A412" s="42">
        <v>1018</v>
      </c>
      <c r="B412" s="58" t="s">
        <v>61</v>
      </c>
      <c r="C412" s="42" t="s">
        <v>44</v>
      </c>
      <c r="D412" s="42">
        <v>2</v>
      </c>
      <c r="E412" s="42">
        <v>1500</v>
      </c>
      <c r="F412" s="42">
        <v>3000</v>
      </c>
    </row>
    <row r="413" spans="1:6" x14ac:dyDescent="0.3">
      <c r="A413" s="42">
        <v>1022</v>
      </c>
      <c r="B413" s="58" t="s">
        <v>65</v>
      </c>
      <c r="C413" s="42" t="s">
        <v>44</v>
      </c>
      <c r="D413" s="42">
        <v>2</v>
      </c>
      <c r="E413" s="42">
        <v>300</v>
      </c>
      <c r="F413" s="42">
        <v>600</v>
      </c>
    </row>
    <row r="414" spans="1:6" x14ac:dyDescent="0.3">
      <c r="A414" s="42">
        <v>1030</v>
      </c>
      <c r="B414" s="58" t="s">
        <v>71</v>
      </c>
      <c r="C414" s="42" t="s">
        <v>44</v>
      </c>
      <c r="D414" s="42">
        <v>3</v>
      </c>
      <c r="E414" s="42">
        <v>100</v>
      </c>
      <c r="F414" s="42">
        <v>300</v>
      </c>
    </row>
    <row r="415" spans="1:6" x14ac:dyDescent="0.3">
      <c r="A415" s="42">
        <v>1106</v>
      </c>
      <c r="B415" s="58" t="s">
        <v>116</v>
      </c>
      <c r="C415" s="42" t="s">
        <v>111</v>
      </c>
      <c r="D415" s="42">
        <v>3</v>
      </c>
      <c r="E415" s="42">
        <v>45</v>
      </c>
      <c r="F415" s="42">
        <v>135</v>
      </c>
    </row>
    <row r="416" spans="1:6" x14ac:dyDescent="0.3">
      <c r="A416" s="42">
        <v>1113</v>
      </c>
      <c r="B416" s="58" t="s">
        <v>123</v>
      </c>
      <c r="C416" s="42" t="s">
        <v>111</v>
      </c>
      <c r="D416" s="42">
        <v>5</v>
      </c>
      <c r="E416" s="42">
        <v>1000</v>
      </c>
      <c r="F416" s="42">
        <v>5000</v>
      </c>
    </row>
    <row r="417" spans="1:6" x14ac:dyDescent="0.3">
      <c r="A417" s="42">
        <v>1116</v>
      </c>
      <c r="B417" s="58" t="s">
        <v>126</v>
      </c>
      <c r="C417" s="42" t="s">
        <v>111</v>
      </c>
      <c r="D417" s="42">
        <v>1</v>
      </c>
      <c r="E417" s="42">
        <v>3500</v>
      </c>
      <c r="F417" s="42">
        <v>3500</v>
      </c>
    </row>
    <row r="418" spans="1:6" x14ac:dyDescent="0.3">
      <c r="A418" s="42">
        <v>1201</v>
      </c>
      <c r="B418" s="58" t="s">
        <v>147</v>
      </c>
      <c r="C418" s="42" t="s">
        <v>111</v>
      </c>
      <c r="D418" s="42">
        <v>1</v>
      </c>
      <c r="E418" s="42">
        <v>3000</v>
      </c>
      <c r="F418" s="42">
        <v>3000</v>
      </c>
    </row>
    <row r="419" spans="1:6" x14ac:dyDescent="0.3">
      <c r="A419" s="42">
        <v>1303</v>
      </c>
      <c r="B419" s="58" t="s">
        <v>154</v>
      </c>
      <c r="C419" s="42" t="s">
        <v>111</v>
      </c>
      <c r="D419" s="42">
        <v>1</v>
      </c>
      <c r="E419" s="42">
        <v>9000</v>
      </c>
      <c r="F419" s="42">
        <v>9000</v>
      </c>
    </row>
    <row r="420" spans="1:6" x14ac:dyDescent="0.3">
      <c r="A420" s="42"/>
      <c r="B420" s="58">
        <v>44739.482936111111</v>
      </c>
      <c r="C420" s="42" t="s">
        <v>3</v>
      </c>
      <c r="D420" s="42"/>
      <c r="E420" s="42"/>
      <c r="F420" s="42">
        <v>1158</v>
      </c>
    </row>
    <row r="421" spans="1:6" x14ac:dyDescent="0.3">
      <c r="A421" s="42" t="s">
        <v>5</v>
      </c>
      <c r="B421" s="58" t="s">
        <v>6</v>
      </c>
      <c r="C421" s="42" t="s">
        <v>7</v>
      </c>
      <c r="D421" s="42" t="s">
        <v>8</v>
      </c>
      <c r="E421" s="42" t="s">
        <v>9</v>
      </c>
      <c r="F421" s="42" t="s">
        <v>10</v>
      </c>
    </row>
    <row r="422" spans="1:6" x14ac:dyDescent="0.3">
      <c r="A422" s="42">
        <v>1010</v>
      </c>
      <c r="B422" s="58" t="s">
        <v>53</v>
      </c>
      <c r="C422" s="42" t="s">
        <v>44</v>
      </c>
      <c r="D422" s="42">
        <v>1</v>
      </c>
      <c r="E422" s="42">
        <v>3600</v>
      </c>
      <c r="F422" s="42">
        <v>3600</v>
      </c>
    </row>
    <row r="423" spans="1:6" x14ac:dyDescent="0.3">
      <c r="A423" s="42">
        <v>1012</v>
      </c>
      <c r="B423" s="58" t="s">
        <v>55</v>
      </c>
      <c r="C423" s="42" t="s">
        <v>44</v>
      </c>
      <c r="D423" s="42">
        <v>1</v>
      </c>
      <c r="E423" s="42">
        <v>1460</v>
      </c>
      <c r="F423" s="42">
        <v>1460</v>
      </c>
    </row>
    <row r="424" spans="1:6" x14ac:dyDescent="0.3">
      <c r="A424" s="42">
        <v>1013</v>
      </c>
      <c r="B424" s="58" t="s">
        <v>56</v>
      </c>
      <c r="C424" s="42" t="s">
        <v>44</v>
      </c>
      <c r="D424" s="42">
        <v>3</v>
      </c>
      <c r="E424" s="42">
        <v>1000</v>
      </c>
      <c r="F424" s="42">
        <v>3000</v>
      </c>
    </row>
    <row r="425" spans="1:6" x14ac:dyDescent="0.3">
      <c r="A425" s="42">
        <v>1018</v>
      </c>
      <c r="B425" s="58" t="s">
        <v>61</v>
      </c>
      <c r="C425" s="42" t="s">
        <v>44</v>
      </c>
      <c r="D425" s="42">
        <v>1</v>
      </c>
      <c r="E425" s="42">
        <v>1500</v>
      </c>
      <c r="F425" s="42">
        <v>1500</v>
      </c>
    </row>
    <row r="426" spans="1:6" x14ac:dyDescent="0.3">
      <c r="A426" s="42">
        <v>1021</v>
      </c>
      <c r="B426" s="58" t="s">
        <v>64</v>
      </c>
      <c r="C426" s="42" t="s">
        <v>44</v>
      </c>
      <c r="D426" s="42">
        <v>6</v>
      </c>
      <c r="E426" s="42">
        <v>170</v>
      </c>
      <c r="F426" s="42">
        <v>1020</v>
      </c>
    </row>
    <row r="427" spans="1:6" x14ac:dyDescent="0.3">
      <c r="A427" s="42">
        <v>1026</v>
      </c>
      <c r="B427" s="58" t="s">
        <v>67</v>
      </c>
      <c r="C427" s="42" t="s">
        <v>44</v>
      </c>
      <c r="D427" s="42">
        <v>6</v>
      </c>
      <c r="E427" s="42">
        <v>60</v>
      </c>
      <c r="F427" s="42">
        <v>360</v>
      </c>
    </row>
    <row r="428" spans="1:6" x14ac:dyDescent="0.3">
      <c r="A428" s="42">
        <v>1030</v>
      </c>
      <c r="B428" s="58" t="s">
        <v>71</v>
      </c>
      <c r="C428" s="42" t="s">
        <v>44</v>
      </c>
      <c r="D428" s="42">
        <v>24</v>
      </c>
      <c r="E428" s="42">
        <v>100</v>
      </c>
      <c r="F428" s="42">
        <v>2400</v>
      </c>
    </row>
    <row r="429" spans="1:6" x14ac:dyDescent="0.3">
      <c r="A429" s="42">
        <v>1113</v>
      </c>
      <c r="B429" s="58" t="s">
        <v>123</v>
      </c>
      <c r="C429" s="42" t="s">
        <v>111</v>
      </c>
      <c r="D429" s="42">
        <v>2</v>
      </c>
      <c r="E429" s="42">
        <v>1000</v>
      </c>
      <c r="F429" s="42">
        <v>2000</v>
      </c>
    </row>
    <row r="430" spans="1:6" x14ac:dyDescent="0.3">
      <c r="A430" s="42"/>
      <c r="B430" s="58">
        <v>44739.48688773148</v>
      </c>
      <c r="C430" s="42" t="s">
        <v>3</v>
      </c>
      <c r="D430" s="42"/>
      <c r="E430" s="42"/>
      <c r="F430" s="42">
        <v>1159</v>
      </c>
    </row>
    <row r="431" spans="1:6" x14ac:dyDescent="0.3">
      <c r="A431" s="42" t="s">
        <v>5</v>
      </c>
      <c r="B431" s="58" t="s">
        <v>6</v>
      </c>
      <c r="C431" s="42" t="s">
        <v>7</v>
      </c>
      <c r="D431" s="42" t="s">
        <v>8</v>
      </c>
      <c r="E431" s="42" t="s">
        <v>9</v>
      </c>
      <c r="F431" s="42" t="s">
        <v>10</v>
      </c>
    </row>
    <row r="432" spans="1:6" x14ac:dyDescent="0.3">
      <c r="A432" s="42">
        <v>1026</v>
      </c>
      <c r="B432" s="58" t="s">
        <v>67</v>
      </c>
      <c r="C432" s="42" t="s">
        <v>44</v>
      </c>
      <c r="D432" s="42">
        <v>5</v>
      </c>
      <c r="E432" s="42">
        <v>60</v>
      </c>
      <c r="F432" s="42">
        <v>300</v>
      </c>
    </row>
    <row r="433" spans="1:6" x14ac:dyDescent="0.3">
      <c r="A433" s="42">
        <v>1030</v>
      </c>
      <c r="B433" s="58" t="s">
        <v>71</v>
      </c>
      <c r="C433" s="42" t="s">
        <v>44</v>
      </c>
      <c r="D433" s="42">
        <v>12</v>
      </c>
      <c r="E433" s="42">
        <v>100</v>
      </c>
      <c r="F433" s="42">
        <v>1200</v>
      </c>
    </row>
    <row r="434" spans="1:6" x14ac:dyDescent="0.3">
      <c r="A434" s="42">
        <v>1033</v>
      </c>
      <c r="B434" s="58" t="s">
        <v>74</v>
      </c>
      <c r="C434" s="42" t="s">
        <v>44</v>
      </c>
      <c r="D434" s="42">
        <v>4</v>
      </c>
      <c r="E434" s="42">
        <v>180</v>
      </c>
      <c r="F434" s="42">
        <v>720</v>
      </c>
    </row>
    <row r="435" spans="1:6" x14ac:dyDescent="0.3">
      <c r="A435" s="42">
        <v>1034</v>
      </c>
      <c r="B435" s="58" t="s">
        <v>75</v>
      </c>
      <c r="C435" s="42" t="s">
        <v>44</v>
      </c>
      <c r="D435" s="42">
        <v>4</v>
      </c>
      <c r="E435" s="42">
        <v>120</v>
      </c>
      <c r="F435" s="42">
        <v>480</v>
      </c>
    </row>
    <row r="436" spans="1:6" x14ac:dyDescent="0.3">
      <c r="A436" s="42">
        <v>1036</v>
      </c>
      <c r="B436" s="58" t="s">
        <v>77</v>
      </c>
      <c r="C436" s="42" t="s">
        <v>44</v>
      </c>
      <c r="D436" s="42">
        <v>6</v>
      </c>
      <c r="E436" s="42">
        <v>10</v>
      </c>
      <c r="F436" s="42">
        <v>60</v>
      </c>
    </row>
    <row r="437" spans="1:6" x14ac:dyDescent="0.3">
      <c r="A437" s="42">
        <v>1048</v>
      </c>
      <c r="B437" s="58" t="s">
        <v>90</v>
      </c>
      <c r="C437" s="42" t="s">
        <v>44</v>
      </c>
      <c r="D437" s="42">
        <v>2</v>
      </c>
      <c r="E437" s="42">
        <v>250</v>
      </c>
      <c r="F437" s="42">
        <v>500</v>
      </c>
    </row>
    <row r="438" spans="1:6" x14ac:dyDescent="0.3">
      <c r="A438" s="42">
        <v>1049</v>
      </c>
      <c r="B438" s="58" t="s">
        <v>91</v>
      </c>
      <c r="C438" s="42" t="s">
        <v>44</v>
      </c>
      <c r="D438" s="42">
        <v>2</v>
      </c>
      <c r="E438" s="42">
        <v>350</v>
      </c>
      <c r="F438" s="42">
        <v>700</v>
      </c>
    </row>
    <row r="439" spans="1:6" x14ac:dyDescent="0.3">
      <c r="A439" s="42">
        <v>1106</v>
      </c>
      <c r="B439" s="58" t="s">
        <v>116</v>
      </c>
      <c r="C439" s="42" t="s">
        <v>111</v>
      </c>
      <c r="D439" s="42">
        <v>4</v>
      </c>
      <c r="E439" s="42">
        <v>45</v>
      </c>
      <c r="F439" s="42">
        <v>180</v>
      </c>
    </row>
    <row r="440" spans="1:6" x14ac:dyDescent="0.3">
      <c r="A440" s="42">
        <v>1108</v>
      </c>
      <c r="B440" s="58" t="s">
        <v>118</v>
      </c>
      <c r="C440" s="42" t="s">
        <v>111</v>
      </c>
      <c r="D440" s="42">
        <v>4</v>
      </c>
      <c r="E440" s="42">
        <v>5</v>
      </c>
      <c r="F440" s="42">
        <v>20</v>
      </c>
    </row>
    <row r="441" spans="1:6" x14ac:dyDescent="0.3">
      <c r="A441" s="42">
        <v>1114</v>
      </c>
      <c r="B441" s="58" t="s">
        <v>124</v>
      </c>
      <c r="C441" s="42" t="s">
        <v>111</v>
      </c>
      <c r="D441" s="42">
        <v>2</v>
      </c>
      <c r="E441" s="42">
        <v>450</v>
      </c>
      <c r="F441" s="42">
        <v>900</v>
      </c>
    </row>
    <row r="442" spans="1:6" x14ac:dyDescent="0.3">
      <c r="A442" s="42">
        <v>1027</v>
      </c>
      <c r="B442" s="58" t="s">
        <v>68</v>
      </c>
      <c r="C442" s="42" t="s">
        <v>44</v>
      </c>
      <c r="D442" s="42">
        <v>5</v>
      </c>
      <c r="E442" s="42">
        <v>20</v>
      </c>
      <c r="F442" s="42">
        <v>100</v>
      </c>
    </row>
    <row r="443" spans="1:6" x14ac:dyDescent="0.3">
      <c r="A443" s="42"/>
      <c r="B443" s="58">
        <v>44739.48765949074</v>
      </c>
      <c r="C443" s="42" t="s">
        <v>3</v>
      </c>
      <c r="D443" s="42"/>
      <c r="E443" s="42"/>
      <c r="F443" s="42">
        <v>1160</v>
      </c>
    </row>
    <row r="444" spans="1:6" x14ac:dyDescent="0.3">
      <c r="A444" s="42" t="s">
        <v>5</v>
      </c>
      <c r="B444" s="58" t="s">
        <v>6</v>
      </c>
      <c r="C444" s="42" t="s">
        <v>7</v>
      </c>
      <c r="D444" s="42" t="s">
        <v>8</v>
      </c>
      <c r="E444" s="42" t="s">
        <v>9</v>
      </c>
      <c r="F444" s="42" t="s">
        <v>10</v>
      </c>
    </row>
    <row r="445" spans="1:6" x14ac:dyDescent="0.3">
      <c r="A445" s="42">
        <v>1030</v>
      </c>
      <c r="B445" s="58" t="s">
        <v>71</v>
      </c>
      <c r="C445" s="42" t="s">
        <v>44</v>
      </c>
      <c r="D445" s="42">
        <v>10</v>
      </c>
      <c r="E445" s="42">
        <v>100</v>
      </c>
      <c r="F445" s="42">
        <v>1000</v>
      </c>
    </row>
    <row r="446" spans="1:6" x14ac:dyDescent="0.3">
      <c r="A446" s="42">
        <v>1106</v>
      </c>
      <c r="B446" s="58" t="s">
        <v>116</v>
      </c>
      <c r="C446" s="42" t="s">
        <v>111</v>
      </c>
      <c r="D446" s="42">
        <v>4</v>
      </c>
      <c r="E446" s="42">
        <v>45</v>
      </c>
      <c r="F446" s="42">
        <v>180</v>
      </c>
    </row>
    <row r="447" spans="1:6" x14ac:dyDescent="0.3">
      <c r="A447" s="42">
        <v>1108</v>
      </c>
      <c r="B447" s="58" t="s">
        <v>118</v>
      </c>
      <c r="C447" s="42" t="s">
        <v>111</v>
      </c>
      <c r="D447" s="42">
        <v>4</v>
      </c>
      <c r="E447" s="42">
        <v>5</v>
      </c>
      <c r="F447" s="42">
        <v>20</v>
      </c>
    </row>
    <row r="448" spans="1:6" x14ac:dyDescent="0.3">
      <c r="A448" s="42">
        <v>1114</v>
      </c>
      <c r="B448" s="58" t="s">
        <v>124</v>
      </c>
      <c r="C448" s="42" t="s">
        <v>111</v>
      </c>
      <c r="D448" s="42">
        <v>2</v>
      </c>
      <c r="E448" s="42">
        <v>450</v>
      </c>
      <c r="F448" s="42">
        <v>900</v>
      </c>
    </row>
    <row r="449" spans="1:6" x14ac:dyDescent="0.3">
      <c r="A449" s="42"/>
      <c r="B449" s="58">
        <v>44739.497171759256</v>
      </c>
      <c r="C449" s="42" t="s">
        <v>3</v>
      </c>
      <c r="D449" s="42"/>
      <c r="E449" s="42"/>
      <c r="F449" s="42">
        <v>1161</v>
      </c>
    </row>
    <row r="450" spans="1:6" x14ac:dyDescent="0.3">
      <c r="A450" s="42" t="s">
        <v>5</v>
      </c>
      <c r="B450" s="58" t="s">
        <v>6</v>
      </c>
      <c r="C450" s="42" t="s">
        <v>7</v>
      </c>
      <c r="D450" s="42" t="s">
        <v>8</v>
      </c>
      <c r="E450" s="42" t="s">
        <v>9</v>
      </c>
      <c r="F450" s="42" t="s">
        <v>10</v>
      </c>
    </row>
    <row r="451" spans="1:6" x14ac:dyDescent="0.3">
      <c r="A451" s="42">
        <v>1003</v>
      </c>
      <c r="B451" s="58" t="s">
        <v>46</v>
      </c>
      <c r="C451" s="42" t="s">
        <v>44</v>
      </c>
      <c r="D451" s="42">
        <v>1</v>
      </c>
      <c r="E451" s="42">
        <v>2000</v>
      </c>
      <c r="F451" s="42">
        <v>2000</v>
      </c>
    </row>
    <row r="452" spans="1:6" x14ac:dyDescent="0.3">
      <c r="A452" s="42">
        <v>1030</v>
      </c>
      <c r="B452" s="58" t="s">
        <v>71</v>
      </c>
      <c r="C452" s="42" t="s">
        <v>44</v>
      </c>
      <c r="D452" s="42">
        <v>100</v>
      </c>
      <c r="E452" s="42">
        <v>100</v>
      </c>
      <c r="F452" s="42">
        <v>10000</v>
      </c>
    </row>
    <row r="453" spans="1:6" x14ac:dyDescent="0.3">
      <c r="A453" s="42">
        <v>1046</v>
      </c>
      <c r="B453" s="58" t="s">
        <v>88</v>
      </c>
      <c r="C453" s="42" t="s">
        <v>44</v>
      </c>
      <c r="D453" s="42">
        <v>3</v>
      </c>
      <c r="E453" s="42">
        <v>125</v>
      </c>
      <c r="F453" s="42">
        <v>375</v>
      </c>
    </row>
    <row r="454" spans="1:6" x14ac:dyDescent="0.3">
      <c r="A454" s="42">
        <v>1047</v>
      </c>
      <c r="B454" s="58" t="s">
        <v>89</v>
      </c>
      <c r="C454" s="42" t="s">
        <v>44</v>
      </c>
      <c r="D454" s="42">
        <v>2</v>
      </c>
      <c r="E454" s="42">
        <v>125</v>
      </c>
      <c r="F454" s="42">
        <v>250</v>
      </c>
    </row>
    <row r="455" spans="1:6" x14ac:dyDescent="0.3">
      <c r="A455" s="42">
        <v>1048</v>
      </c>
      <c r="B455" s="58" t="s">
        <v>90</v>
      </c>
      <c r="C455" s="42" t="s">
        <v>44</v>
      </c>
      <c r="D455" s="42">
        <v>1</v>
      </c>
      <c r="E455" s="42">
        <v>250</v>
      </c>
      <c r="F455" s="42">
        <v>250</v>
      </c>
    </row>
    <row r="456" spans="1:6" x14ac:dyDescent="0.3">
      <c r="A456" s="42">
        <v>1049</v>
      </c>
      <c r="B456" s="58" t="s">
        <v>91</v>
      </c>
      <c r="C456" s="42" t="s">
        <v>44</v>
      </c>
      <c r="D456" s="42">
        <v>3</v>
      </c>
      <c r="E456" s="42">
        <v>350</v>
      </c>
      <c r="F456" s="42">
        <v>1050</v>
      </c>
    </row>
    <row r="457" spans="1:6" x14ac:dyDescent="0.3">
      <c r="A457" s="42">
        <v>1050</v>
      </c>
      <c r="B457" s="58" t="s">
        <v>92</v>
      </c>
      <c r="C457" s="42" t="s">
        <v>44</v>
      </c>
      <c r="D457" s="42">
        <v>2</v>
      </c>
      <c r="E457" s="42">
        <v>60</v>
      </c>
      <c r="F457" s="42">
        <v>120</v>
      </c>
    </row>
    <row r="458" spans="1:6" x14ac:dyDescent="0.3">
      <c r="A458" s="42">
        <v>1051</v>
      </c>
      <c r="B458" s="58" t="s">
        <v>93</v>
      </c>
      <c r="C458" s="42" t="s">
        <v>44</v>
      </c>
      <c r="D458" s="42">
        <v>2</v>
      </c>
      <c r="E458" s="42">
        <v>10</v>
      </c>
      <c r="F458" s="42">
        <v>20</v>
      </c>
    </row>
    <row r="459" spans="1:6" x14ac:dyDescent="0.3">
      <c r="A459" s="42">
        <v>1053</v>
      </c>
      <c r="B459" s="58" t="s">
        <v>95</v>
      </c>
      <c r="C459" s="42" t="s">
        <v>44</v>
      </c>
      <c r="D459" s="42">
        <v>1</v>
      </c>
      <c r="E459" s="42">
        <v>150</v>
      </c>
      <c r="F459" s="42">
        <v>150</v>
      </c>
    </row>
    <row r="460" spans="1:6" x14ac:dyDescent="0.3">
      <c r="A460" s="42">
        <v>1060</v>
      </c>
      <c r="B460" s="58" t="s">
        <v>102</v>
      </c>
      <c r="C460" s="42" t="s">
        <v>44</v>
      </c>
      <c r="D460" s="42">
        <v>5</v>
      </c>
      <c r="E460" s="42">
        <v>20</v>
      </c>
      <c r="F460" s="42">
        <v>100</v>
      </c>
    </row>
    <row r="461" spans="1:6" x14ac:dyDescent="0.3">
      <c r="A461" s="42">
        <v>1101</v>
      </c>
      <c r="B461" s="58" t="s">
        <v>110</v>
      </c>
      <c r="C461" s="42" t="s">
        <v>111</v>
      </c>
      <c r="D461" s="42">
        <v>5</v>
      </c>
      <c r="E461" s="42">
        <v>125</v>
      </c>
      <c r="F461" s="42">
        <v>625</v>
      </c>
    </row>
    <row r="462" spans="1:6" x14ac:dyDescent="0.3">
      <c r="A462" s="42">
        <v>1103</v>
      </c>
      <c r="B462" s="58" t="s">
        <v>113</v>
      </c>
      <c r="C462" s="42" t="s">
        <v>111</v>
      </c>
      <c r="D462" s="42">
        <v>6</v>
      </c>
      <c r="E462" s="42">
        <v>30</v>
      </c>
      <c r="F462" s="42">
        <v>180</v>
      </c>
    </row>
    <row r="463" spans="1:6" x14ac:dyDescent="0.3">
      <c r="A463" s="42">
        <v>1106</v>
      </c>
      <c r="B463" s="58" t="s">
        <v>116</v>
      </c>
      <c r="C463" s="42" t="s">
        <v>111</v>
      </c>
      <c r="D463" s="42">
        <v>5</v>
      </c>
      <c r="E463" s="42">
        <v>45</v>
      </c>
      <c r="F463" s="42">
        <v>225</v>
      </c>
    </row>
    <row r="464" spans="1:6" x14ac:dyDescent="0.3">
      <c r="A464" s="42">
        <v>1108</v>
      </c>
      <c r="B464" s="58" t="s">
        <v>118</v>
      </c>
      <c r="C464" s="42" t="s">
        <v>111</v>
      </c>
      <c r="D464" s="42">
        <v>15</v>
      </c>
      <c r="E464" s="42">
        <v>5</v>
      </c>
      <c r="F464" s="42">
        <v>75</v>
      </c>
    </row>
    <row r="465" spans="1:6" x14ac:dyDescent="0.3">
      <c r="A465" s="42">
        <v>1113</v>
      </c>
      <c r="B465" s="58" t="s">
        <v>123</v>
      </c>
      <c r="C465" s="42" t="s">
        <v>111</v>
      </c>
      <c r="D465" s="42">
        <v>4</v>
      </c>
      <c r="E465" s="42">
        <v>1000</v>
      </c>
      <c r="F465" s="42">
        <v>4000</v>
      </c>
    </row>
    <row r="466" spans="1:6" x14ac:dyDescent="0.3">
      <c r="A466" s="42">
        <v>1118</v>
      </c>
      <c r="B466" s="58" t="s">
        <v>128</v>
      </c>
      <c r="C466" s="42" t="s">
        <v>111</v>
      </c>
      <c r="D466" s="42">
        <v>1</v>
      </c>
      <c r="E466" s="42">
        <v>300</v>
      </c>
      <c r="F466" s="42">
        <v>300</v>
      </c>
    </row>
    <row r="467" spans="1:6" x14ac:dyDescent="0.3">
      <c r="A467" s="42">
        <v>1201</v>
      </c>
      <c r="B467" s="58" t="s">
        <v>147</v>
      </c>
      <c r="C467" s="42" t="s">
        <v>111</v>
      </c>
      <c r="D467" s="42">
        <v>2</v>
      </c>
      <c r="E467" s="42">
        <v>3000</v>
      </c>
      <c r="F467" s="42">
        <v>6000</v>
      </c>
    </row>
    <row r="468" spans="1:6" x14ac:dyDescent="0.3">
      <c r="A468" s="42">
        <v>1059</v>
      </c>
      <c r="B468" s="58" t="s">
        <v>101</v>
      </c>
      <c r="C468" s="42" t="s">
        <v>44</v>
      </c>
      <c r="D468" s="42">
        <v>1</v>
      </c>
      <c r="E468" s="42">
        <v>100</v>
      </c>
      <c r="F468" s="42">
        <v>100</v>
      </c>
    </row>
    <row r="469" spans="1:6" x14ac:dyDescent="0.3">
      <c r="A469" s="42"/>
      <c r="B469" s="58">
        <v>44739.500009490737</v>
      </c>
      <c r="C469" s="42" t="s">
        <v>3</v>
      </c>
      <c r="D469" s="42"/>
      <c r="E469" s="42"/>
      <c r="F469" s="42">
        <v>1162</v>
      </c>
    </row>
    <row r="470" spans="1:6" x14ac:dyDescent="0.3">
      <c r="A470" s="42" t="s">
        <v>5</v>
      </c>
      <c r="B470" s="58" t="s">
        <v>6</v>
      </c>
      <c r="C470" s="42" t="s">
        <v>7</v>
      </c>
      <c r="D470" s="42" t="s">
        <v>8</v>
      </c>
      <c r="E470" s="42" t="s">
        <v>9</v>
      </c>
      <c r="F470" s="42" t="s">
        <v>10</v>
      </c>
    </row>
    <row r="471" spans="1:6" x14ac:dyDescent="0.3">
      <c r="A471" s="42">
        <v>1026</v>
      </c>
      <c r="B471" s="58" t="s">
        <v>67</v>
      </c>
      <c r="C471" s="42" t="s">
        <v>44</v>
      </c>
      <c r="D471" s="42">
        <v>6</v>
      </c>
      <c r="E471" s="42">
        <v>60</v>
      </c>
      <c r="F471" s="42">
        <v>360</v>
      </c>
    </row>
    <row r="472" spans="1:6" x14ac:dyDescent="0.3">
      <c r="A472" s="42">
        <v>1030</v>
      </c>
      <c r="B472" s="58" t="s">
        <v>71</v>
      </c>
      <c r="C472" s="42" t="s">
        <v>44</v>
      </c>
      <c r="D472" s="42">
        <v>10</v>
      </c>
      <c r="E472" s="42">
        <v>100</v>
      </c>
      <c r="F472" s="42">
        <v>1000</v>
      </c>
    </row>
    <row r="473" spans="1:6" x14ac:dyDescent="0.3">
      <c r="A473" s="42">
        <v>1033</v>
      </c>
      <c r="B473" s="58" t="s">
        <v>74</v>
      </c>
      <c r="C473" s="42" t="s">
        <v>44</v>
      </c>
      <c r="D473" s="42">
        <v>4</v>
      </c>
      <c r="E473" s="42">
        <v>180</v>
      </c>
      <c r="F473" s="42">
        <v>720</v>
      </c>
    </row>
    <row r="474" spans="1:6" x14ac:dyDescent="0.3">
      <c r="A474" s="42">
        <v>1101</v>
      </c>
      <c r="B474" s="58" t="s">
        <v>110</v>
      </c>
      <c r="C474" s="42" t="s">
        <v>111</v>
      </c>
      <c r="D474" s="42">
        <v>2</v>
      </c>
      <c r="E474" s="42">
        <v>125</v>
      </c>
      <c r="F474" s="42">
        <v>250</v>
      </c>
    </row>
    <row r="475" spans="1:6" x14ac:dyDescent="0.3">
      <c r="A475" s="42">
        <v>1103</v>
      </c>
      <c r="B475" s="58" t="s">
        <v>113</v>
      </c>
      <c r="C475" s="42" t="s">
        <v>111</v>
      </c>
      <c r="D475" s="42">
        <v>3</v>
      </c>
      <c r="E475" s="42">
        <v>30</v>
      </c>
      <c r="F475" s="42">
        <v>90</v>
      </c>
    </row>
    <row r="476" spans="1:6" x14ac:dyDescent="0.3">
      <c r="A476" s="42">
        <v>1106</v>
      </c>
      <c r="B476" s="58" t="s">
        <v>116</v>
      </c>
      <c r="C476" s="42" t="s">
        <v>111</v>
      </c>
      <c r="D476" s="42">
        <v>2</v>
      </c>
      <c r="E476" s="42">
        <v>45</v>
      </c>
      <c r="F476" s="42">
        <v>90</v>
      </c>
    </row>
    <row r="477" spans="1:6" x14ac:dyDescent="0.3">
      <c r="A477" s="42">
        <v>1108</v>
      </c>
      <c r="B477" s="58" t="s">
        <v>118</v>
      </c>
      <c r="C477" s="42" t="s">
        <v>111</v>
      </c>
      <c r="D477" s="42">
        <v>5</v>
      </c>
      <c r="E477" s="42">
        <v>5</v>
      </c>
      <c r="F477" s="42">
        <v>25</v>
      </c>
    </row>
    <row r="478" spans="1:6" x14ac:dyDescent="0.3">
      <c r="A478" s="42">
        <v>1113</v>
      </c>
      <c r="B478" s="58" t="s">
        <v>123</v>
      </c>
      <c r="C478" s="42" t="s">
        <v>111</v>
      </c>
      <c r="D478" s="42">
        <v>3</v>
      </c>
      <c r="E478" s="42">
        <v>1000</v>
      </c>
      <c r="F478" s="42">
        <v>3000</v>
      </c>
    </row>
    <row r="479" spans="1:6" x14ac:dyDescent="0.3">
      <c r="A479" s="42">
        <v>1201</v>
      </c>
      <c r="B479" s="58" t="s">
        <v>147</v>
      </c>
      <c r="C479" s="42" t="s">
        <v>111</v>
      </c>
      <c r="D479" s="42">
        <v>1</v>
      </c>
      <c r="E479" s="42">
        <v>3000</v>
      </c>
      <c r="F479" s="42">
        <v>3000</v>
      </c>
    </row>
    <row r="480" spans="1:6" x14ac:dyDescent="0.3">
      <c r="A480" s="42"/>
      <c r="B480" s="58">
        <v>44739.501993634258</v>
      </c>
      <c r="C480" s="42" t="s">
        <v>3</v>
      </c>
      <c r="D480" s="42"/>
      <c r="E480" s="42"/>
      <c r="F480" s="42">
        <v>1163</v>
      </c>
    </row>
    <row r="481" spans="1:6" x14ac:dyDescent="0.3">
      <c r="A481" s="42" t="s">
        <v>5</v>
      </c>
      <c r="B481" s="58" t="s">
        <v>6</v>
      </c>
      <c r="C481" s="42" t="s">
        <v>7</v>
      </c>
      <c r="D481" s="42" t="s">
        <v>8</v>
      </c>
      <c r="E481" s="42" t="s">
        <v>9</v>
      </c>
      <c r="F481" s="42" t="s">
        <v>10</v>
      </c>
    </row>
    <row r="482" spans="1:6" x14ac:dyDescent="0.3">
      <c r="A482" s="42">
        <v>1021</v>
      </c>
      <c r="B482" s="58" t="s">
        <v>64</v>
      </c>
      <c r="C482" s="42" t="s">
        <v>44</v>
      </c>
      <c r="D482" s="42">
        <v>5</v>
      </c>
      <c r="E482" s="42">
        <v>170</v>
      </c>
      <c r="F482" s="42">
        <v>850</v>
      </c>
    </row>
    <row r="483" spans="1:6" x14ac:dyDescent="0.3">
      <c r="A483" s="42">
        <v>1029</v>
      </c>
      <c r="B483" s="58" t="s">
        <v>70</v>
      </c>
      <c r="C483" s="42" t="s">
        <v>44</v>
      </c>
      <c r="D483" s="42">
        <v>2</v>
      </c>
      <c r="E483" s="42">
        <v>40</v>
      </c>
      <c r="F483" s="42">
        <v>80</v>
      </c>
    </row>
    <row r="484" spans="1:6" x14ac:dyDescent="0.3">
      <c r="A484" s="42">
        <v>1030</v>
      </c>
      <c r="B484" s="58" t="s">
        <v>71</v>
      </c>
      <c r="C484" s="42" t="s">
        <v>44</v>
      </c>
      <c r="D484" s="42">
        <v>5</v>
      </c>
      <c r="E484" s="42">
        <v>100</v>
      </c>
      <c r="F484" s="42">
        <v>500</v>
      </c>
    </row>
    <row r="485" spans="1:6" x14ac:dyDescent="0.3">
      <c r="A485" s="42">
        <v>1050</v>
      </c>
      <c r="B485" s="58" t="s">
        <v>92</v>
      </c>
      <c r="C485" s="42" t="s">
        <v>44</v>
      </c>
      <c r="D485" s="42">
        <v>1</v>
      </c>
      <c r="E485" s="42">
        <v>60</v>
      </c>
      <c r="F485" s="42">
        <v>60</v>
      </c>
    </row>
    <row r="486" spans="1:6" x14ac:dyDescent="0.3">
      <c r="A486" s="42">
        <v>1104</v>
      </c>
      <c r="B486" s="58" t="s">
        <v>114</v>
      </c>
      <c r="C486" s="42" t="s">
        <v>111</v>
      </c>
      <c r="D486" s="42">
        <v>1</v>
      </c>
      <c r="E486" s="42">
        <v>30</v>
      </c>
      <c r="F486" s="42">
        <v>30</v>
      </c>
    </row>
    <row r="487" spans="1:6" x14ac:dyDescent="0.3">
      <c r="A487" s="42">
        <v>1106</v>
      </c>
      <c r="B487" s="58" t="s">
        <v>116</v>
      </c>
      <c r="C487" s="42" t="s">
        <v>111</v>
      </c>
      <c r="D487" s="42">
        <v>2</v>
      </c>
      <c r="E487" s="42">
        <v>45</v>
      </c>
      <c r="F487" s="42">
        <v>90</v>
      </c>
    </row>
    <row r="488" spans="1:6" x14ac:dyDescent="0.3">
      <c r="A488" s="42">
        <v>1108</v>
      </c>
      <c r="B488" s="58" t="s">
        <v>118</v>
      </c>
      <c r="C488" s="42" t="s">
        <v>111</v>
      </c>
      <c r="D488" s="42">
        <v>6</v>
      </c>
      <c r="E488" s="42">
        <v>5</v>
      </c>
      <c r="F488" s="42">
        <v>30</v>
      </c>
    </row>
    <row r="489" spans="1:6" x14ac:dyDescent="0.3">
      <c r="A489" s="42">
        <v>1114</v>
      </c>
      <c r="B489" s="58" t="s">
        <v>124</v>
      </c>
      <c r="C489" s="42" t="s">
        <v>111</v>
      </c>
      <c r="D489" s="42">
        <v>2</v>
      </c>
      <c r="E489" s="42">
        <v>450</v>
      </c>
      <c r="F489" s="42">
        <v>900</v>
      </c>
    </row>
    <row r="490" spans="1:6" x14ac:dyDescent="0.3">
      <c r="A490" s="42">
        <v>1201</v>
      </c>
      <c r="B490" s="58" t="s">
        <v>147</v>
      </c>
      <c r="C490" s="42" t="s">
        <v>111</v>
      </c>
      <c r="D490" s="42">
        <v>1</v>
      </c>
      <c r="E490" s="42">
        <v>3000</v>
      </c>
      <c r="F490" s="42">
        <v>3000</v>
      </c>
    </row>
    <row r="491" spans="1:6" x14ac:dyDescent="0.3">
      <c r="A491" s="42"/>
      <c r="B491" s="58">
        <v>44739.505901041666</v>
      </c>
      <c r="C491" s="42" t="s">
        <v>3</v>
      </c>
      <c r="D491" s="42"/>
      <c r="E491" s="42"/>
      <c r="F491" s="42">
        <v>1164</v>
      </c>
    </row>
    <row r="492" spans="1:6" x14ac:dyDescent="0.3">
      <c r="A492" s="42" t="s">
        <v>5</v>
      </c>
      <c r="B492" s="58" t="s">
        <v>6</v>
      </c>
      <c r="C492" s="42" t="s">
        <v>7</v>
      </c>
      <c r="D492" s="42" t="s">
        <v>8</v>
      </c>
      <c r="E492" s="42" t="s">
        <v>9</v>
      </c>
      <c r="F492" s="42" t="s">
        <v>10</v>
      </c>
    </row>
    <row r="493" spans="1:6" x14ac:dyDescent="0.3">
      <c r="A493" s="42">
        <v>1003</v>
      </c>
      <c r="B493" s="58" t="s">
        <v>46</v>
      </c>
      <c r="C493" s="42" t="s">
        <v>44</v>
      </c>
      <c r="D493" s="42">
        <v>1</v>
      </c>
      <c r="E493" s="42">
        <v>2000</v>
      </c>
      <c r="F493" s="42">
        <v>2000</v>
      </c>
    </row>
    <row r="494" spans="1:6" x14ac:dyDescent="0.3">
      <c r="A494" s="42">
        <v>1010</v>
      </c>
      <c r="B494" s="58" t="s">
        <v>53</v>
      </c>
      <c r="C494" s="42" t="s">
        <v>44</v>
      </c>
      <c r="D494" s="42">
        <v>1</v>
      </c>
      <c r="E494" s="42">
        <v>3600</v>
      </c>
      <c r="F494" s="42">
        <v>3600</v>
      </c>
    </row>
    <row r="495" spans="1:6" x14ac:dyDescent="0.3">
      <c r="A495" s="42">
        <v>1011</v>
      </c>
      <c r="B495" s="58" t="s">
        <v>54</v>
      </c>
      <c r="C495" s="42" t="s">
        <v>44</v>
      </c>
      <c r="D495" s="42">
        <v>1</v>
      </c>
      <c r="E495" s="42">
        <v>3600</v>
      </c>
      <c r="F495" s="42">
        <v>3600</v>
      </c>
    </row>
    <row r="496" spans="1:6" x14ac:dyDescent="0.3">
      <c r="A496" s="42">
        <v>1012</v>
      </c>
      <c r="B496" s="58" t="s">
        <v>55</v>
      </c>
      <c r="C496" s="42" t="s">
        <v>44</v>
      </c>
      <c r="D496" s="42">
        <v>1</v>
      </c>
      <c r="E496" s="42">
        <v>1460</v>
      </c>
      <c r="F496" s="42">
        <v>1460</v>
      </c>
    </row>
    <row r="497" spans="1:6" x14ac:dyDescent="0.3">
      <c r="A497" s="42">
        <v>1021</v>
      </c>
      <c r="B497" s="58" t="s">
        <v>64</v>
      </c>
      <c r="C497" s="42" t="s">
        <v>44</v>
      </c>
      <c r="D497" s="42">
        <v>10</v>
      </c>
      <c r="E497" s="42">
        <v>170</v>
      </c>
      <c r="F497" s="42">
        <v>1700</v>
      </c>
    </row>
    <row r="498" spans="1:6" x14ac:dyDescent="0.3">
      <c r="A498" s="42">
        <v>1030</v>
      </c>
      <c r="B498" s="58" t="s">
        <v>71</v>
      </c>
      <c r="C498" s="42" t="s">
        <v>44</v>
      </c>
      <c r="D498" s="42">
        <v>25</v>
      </c>
      <c r="E498" s="42">
        <v>100</v>
      </c>
      <c r="F498" s="42">
        <v>2500</v>
      </c>
    </row>
    <row r="499" spans="1:6" x14ac:dyDescent="0.3">
      <c r="A499" s="42">
        <v>1059</v>
      </c>
      <c r="B499" s="58" t="s">
        <v>101</v>
      </c>
      <c r="C499" s="42" t="s">
        <v>44</v>
      </c>
      <c r="D499" s="42">
        <v>20</v>
      </c>
      <c r="E499" s="42">
        <v>100</v>
      </c>
      <c r="F499" s="42">
        <v>2000</v>
      </c>
    </row>
    <row r="500" spans="1:6" x14ac:dyDescent="0.3">
      <c r="A500" s="42">
        <v>1060</v>
      </c>
      <c r="B500" s="58" t="s">
        <v>102</v>
      </c>
      <c r="C500" s="42" t="s">
        <v>44</v>
      </c>
      <c r="D500" s="42">
        <v>2</v>
      </c>
      <c r="E500" s="42">
        <v>20</v>
      </c>
      <c r="F500" s="42">
        <v>40</v>
      </c>
    </row>
    <row r="501" spans="1:6" x14ac:dyDescent="0.3">
      <c r="A501" s="42">
        <v>1063</v>
      </c>
      <c r="B501" s="58" t="s">
        <v>105</v>
      </c>
      <c r="C501" s="42" t="s">
        <v>44</v>
      </c>
      <c r="D501" s="42">
        <v>1</v>
      </c>
      <c r="E501" s="42">
        <v>400</v>
      </c>
      <c r="F501" s="42">
        <v>400</v>
      </c>
    </row>
    <row r="502" spans="1:6" x14ac:dyDescent="0.3">
      <c r="A502" s="42">
        <v>1101</v>
      </c>
      <c r="B502" s="58" t="s">
        <v>110</v>
      </c>
      <c r="C502" s="42" t="s">
        <v>111</v>
      </c>
      <c r="D502" s="42">
        <v>2</v>
      </c>
      <c r="E502" s="42">
        <v>125</v>
      </c>
      <c r="F502" s="42">
        <v>250</v>
      </c>
    </row>
    <row r="503" spans="1:6" x14ac:dyDescent="0.3">
      <c r="A503" s="42">
        <v>1103</v>
      </c>
      <c r="B503" s="58" t="s">
        <v>113</v>
      </c>
      <c r="C503" s="42" t="s">
        <v>111</v>
      </c>
      <c r="D503" s="42">
        <v>3</v>
      </c>
      <c r="E503" s="42">
        <v>30</v>
      </c>
      <c r="F503" s="42">
        <v>90</v>
      </c>
    </row>
    <row r="504" spans="1:6" x14ac:dyDescent="0.3">
      <c r="A504" s="42">
        <v>1106</v>
      </c>
      <c r="B504" s="58" t="s">
        <v>116</v>
      </c>
      <c r="C504" s="42" t="s">
        <v>111</v>
      </c>
      <c r="D504" s="42">
        <v>3</v>
      </c>
      <c r="E504" s="42">
        <v>45</v>
      </c>
      <c r="F504" s="42">
        <v>135</v>
      </c>
    </row>
    <row r="505" spans="1:6" x14ac:dyDescent="0.3">
      <c r="A505" s="42">
        <v>1113</v>
      </c>
      <c r="B505" s="58" t="s">
        <v>123</v>
      </c>
      <c r="C505" s="42" t="s">
        <v>111</v>
      </c>
      <c r="D505" s="42">
        <v>3</v>
      </c>
      <c r="E505" s="42">
        <v>1000</v>
      </c>
      <c r="F505" s="42">
        <v>3000</v>
      </c>
    </row>
    <row r="506" spans="1:6" x14ac:dyDescent="0.3">
      <c r="A506" s="42">
        <v>1201</v>
      </c>
      <c r="B506" s="58" t="s">
        <v>147</v>
      </c>
      <c r="C506" s="42" t="s">
        <v>111</v>
      </c>
      <c r="D506" s="42">
        <v>1</v>
      </c>
      <c r="E506" s="42">
        <v>3000</v>
      </c>
      <c r="F506" s="42">
        <v>3000</v>
      </c>
    </row>
    <row r="507" spans="1:6" x14ac:dyDescent="0.3">
      <c r="A507" s="42">
        <v>1013</v>
      </c>
      <c r="B507" s="58" t="s">
        <v>56</v>
      </c>
      <c r="C507" s="42" t="s">
        <v>44</v>
      </c>
      <c r="D507" s="42">
        <v>2</v>
      </c>
      <c r="E507" s="42">
        <v>1000</v>
      </c>
      <c r="F507" s="42">
        <v>2000</v>
      </c>
    </row>
    <row r="508" spans="1:6" x14ac:dyDescent="0.3">
      <c r="A508" s="42"/>
      <c r="B508" s="58">
        <v>44739.510841550924</v>
      </c>
      <c r="C508" s="42" t="s">
        <v>3</v>
      </c>
      <c r="D508" s="42"/>
      <c r="E508" s="42"/>
      <c r="F508" s="42">
        <v>1165</v>
      </c>
    </row>
    <row r="509" spans="1:6" x14ac:dyDescent="0.3">
      <c r="A509" s="42" t="s">
        <v>5</v>
      </c>
      <c r="B509" s="58" t="s">
        <v>6</v>
      </c>
      <c r="C509" s="42" t="s">
        <v>7</v>
      </c>
      <c r="D509" s="42" t="s">
        <v>8</v>
      </c>
      <c r="E509" s="42" t="s">
        <v>9</v>
      </c>
      <c r="F509" s="42" t="s">
        <v>10</v>
      </c>
    </row>
    <row r="510" spans="1:6" x14ac:dyDescent="0.3">
      <c r="A510" s="42">
        <v>1021</v>
      </c>
      <c r="B510" s="58" t="s">
        <v>64</v>
      </c>
      <c r="C510" s="42" t="s">
        <v>44</v>
      </c>
      <c r="D510" s="42">
        <v>2</v>
      </c>
      <c r="E510" s="42">
        <v>170</v>
      </c>
      <c r="F510" s="42">
        <v>340</v>
      </c>
    </row>
    <row r="511" spans="1:6" x14ac:dyDescent="0.3">
      <c r="A511" s="42">
        <v>1040</v>
      </c>
      <c r="B511" s="58" t="s">
        <v>82</v>
      </c>
      <c r="C511" s="42" t="s">
        <v>44</v>
      </c>
      <c r="D511" s="42">
        <v>10</v>
      </c>
      <c r="E511" s="42">
        <v>20</v>
      </c>
      <c r="F511" s="42">
        <v>200</v>
      </c>
    </row>
    <row r="512" spans="1:6" x14ac:dyDescent="0.3">
      <c r="A512" s="42">
        <v>1113</v>
      </c>
      <c r="B512" s="58" t="s">
        <v>123</v>
      </c>
      <c r="C512" s="42" t="s">
        <v>111</v>
      </c>
      <c r="D512" s="42">
        <v>1</v>
      </c>
      <c r="E512" s="42">
        <v>1000</v>
      </c>
      <c r="F512" s="42">
        <v>1000</v>
      </c>
    </row>
    <row r="513" spans="1:6" x14ac:dyDescent="0.3">
      <c r="A513" s="42">
        <v>1201</v>
      </c>
      <c r="B513" s="58" t="s">
        <v>147</v>
      </c>
      <c r="C513" s="42" t="s">
        <v>111</v>
      </c>
      <c r="D513" s="42">
        <v>1</v>
      </c>
      <c r="E513" s="42">
        <v>3000</v>
      </c>
      <c r="F513" s="42">
        <v>3000</v>
      </c>
    </row>
    <row r="514" spans="1:6" x14ac:dyDescent="0.3">
      <c r="A514" s="42"/>
      <c r="B514" s="58">
        <v>44739.515476273147</v>
      </c>
      <c r="C514" s="42" t="s">
        <v>3</v>
      </c>
      <c r="D514" s="42"/>
      <c r="E514" s="42"/>
      <c r="F514" s="42">
        <v>1167</v>
      </c>
    </row>
    <row r="515" spans="1:6" x14ac:dyDescent="0.3">
      <c r="A515" s="42" t="s">
        <v>5</v>
      </c>
      <c r="B515" s="58" t="s">
        <v>6</v>
      </c>
      <c r="C515" s="42" t="s">
        <v>7</v>
      </c>
      <c r="D515" s="42" t="s">
        <v>8</v>
      </c>
      <c r="E515" s="42" t="s">
        <v>9</v>
      </c>
      <c r="F515" s="42" t="s">
        <v>10</v>
      </c>
    </row>
    <row r="516" spans="1:6" x14ac:dyDescent="0.3">
      <c r="A516" s="42">
        <v>1002</v>
      </c>
      <c r="B516" s="58" t="s">
        <v>45</v>
      </c>
      <c r="C516" s="42" t="s">
        <v>44</v>
      </c>
      <c r="D516" s="42">
        <v>2</v>
      </c>
      <c r="E516" s="42">
        <v>750</v>
      </c>
      <c r="F516" s="42">
        <v>1500</v>
      </c>
    </row>
    <row r="517" spans="1:6" x14ac:dyDescent="0.3">
      <c r="A517" s="42">
        <v>1021</v>
      </c>
      <c r="B517" s="58" t="s">
        <v>64</v>
      </c>
      <c r="C517" s="42" t="s">
        <v>44</v>
      </c>
      <c r="D517" s="42">
        <v>20</v>
      </c>
      <c r="E517" s="42">
        <v>170</v>
      </c>
      <c r="F517" s="42">
        <v>3400</v>
      </c>
    </row>
    <row r="518" spans="1:6" x14ac:dyDescent="0.3">
      <c r="A518" s="42">
        <v>1029</v>
      </c>
      <c r="B518" s="58" t="s">
        <v>70</v>
      </c>
      <c r="C518" s="42" t="s">
        <v>44</v>
      </c>
      <c r="D518" s="42">
        <v>2</v>
      </c>
      <c r="E518" s="42">
        <v>40</v>
      </c>
      <c r="F518" s="42">
        <v>80</v>
      </c>
    </row>
    <row r="519" spans="1:6" x14ac:dyDescent="0.3">
      <c r="A519" s="42">
        <v>1030</v>
      </c>
      <c r="B519" s="58" t="s">
        <v>71</v>
      </c>
      <c r="C519" s="42" t="s">
        <v>44</v>
      </c>
      <c r="D519" s="42">
        <v>4</v>
      </c>
      <c r="E519" s="42">
        <v>100</v>
      </c>
      <c r="F519" s="42">
        <v>400</v>
      </c>
    </row>
    <row r="520" spans="1:6" x14ac:dyDescent="0.3">
      <c r="A520" s="42">
        <v>1031</v>
      </c>
      <c r="B520" s="58" t="s">
        <v>72</v>
      </c>
      <c r="C520" s="42" t="s">
        <v>44</v>
      </c>
      <c r="D520" s="42">
        <v>7</v>
      </c>
      <c r="E520" s="42">
        <v>80</v>
      </c>
      <c r="F520" s="42">
        <v>560</v>
      </c>
    </row>
    <row r="521" spans="1:6" x14ac:dyDescent="0.3">
      <c r="A521" s="42">
        <v>1033</v>
      </c>
      <c r="B521" s="58" t="s">
        <v>74</v>
      </c>
      <c r="C521" s="42" t="s">
        <v>44</v>
      </c>
      <c r="D521" s="42">
        <v>2</v>
      </c>
      <c r="E521" s="42">
        <v>180</v>
      </c>
      <c r="F521" s="42">
        <v>360</v>
      </c>
    </row>
    <row r="522" spans="1:6" x14ac:dyDescent="0.3">
      <c r="A522" s="42">
        <v>1040</v>
      </c>
      <c r="B522" s="58" t="s">
        <v>82</v>
      </c>
      <c r="C522" s="42" t="s">
        <v>44</v>
      </c>
      <c r="D522" s="42">
        <v>20</v>
      </c>
      <c r="E522" s="42">
        <v>20</v>
      </c>
      <c r="F522" s="42">
        <v>400</v>
      </c>
    </row>
    <row r="523" spans="1:6" x14ac:dyDescent="0.3">
      <c r="A523" s="42">
        <v>1050</v>
      </c>
      <c r="B523" s="58" t="s">
        <v>92</v>
      </c>
      <c r="C523" s="42" t="s">
        <v>44</v>
      </c>
      <c r="D523" s="42">
        <v>2</v>
      </c>
      <c r="E523" s="42">
        <v>60</v>
      </c>
      <c r="F523" s="42">
        <v>120</v>
      </c>
    </row>
    <row r="524" spans="1:6" x14ac:dyDescent="0.3">
      <c r="A524" s="42">
        <v>1106</v>
      </c>
      <c r="B524" s="58" t="s">
        <v>116</v>
      </c>
      <c r="C524" s="42" t="s">
        <v>111</v>
      </c>
      <c r="D524" s="42">
        <v>4</v>
      </c>
      <c r="E524" s="42">
        <v>45</v>
      </c>
      <c r="F524" s="42">
        <v>180</v>
      </c>
    </row>
    <row r="525" spans="1:6" x14ac:dyDescent="0.3">
      <c r="A525" s="42">
        <v>1108</v>
      </c>
      <c r="B525" s="58" t="s">
        <v>118</v>
      </c>
      <c r="C525" s="42" t="s">
        <v>111</v>
      </c>
      <c r="D525" s="42">
        <v>4</v>
      </c>
      <c r="E525" s="42">
        <v>5</v>
      </c>
      <c r="F525" s="42">
        <v>20</v>
      </c>
    </row>
    <row r="526" spans="1:6" x14ac:dyDescent="0.3">
      <c r="A526" s="42">
        <v>1113</v>
      </c>
      <c r="B526" s="58" t="s">
        <v>123</v>
      </c>
      <c r="C526" s="42" t="s">
        <v>111</v>
      </c>
      <c r="D526" s="42">
        <v>1</v>
      </c>
      <c r="E526" s="42">
        <v>1000</v>
      </c>
      <c r="F526" s="42">
        <v>1000</v>
      </c>
    </row>
    <row r="527" spans="1:6" x14ac:dyDescent="0.3">
      <c r="A527" s="42">
        <v>1114</v>
      </c>
      <c r="B527" s="58" t="s">
        <v>124</v>
      </c>
      <c r="C527" s="42" t="s">
        <v>111</v>
      </c>
      <c r="D527" s="42">
        <v>1</v>
      </c>
      <c r="E527" s="42">
        <v>450</v>
      </c>
      <c r="F527" s="42">
        <v>450</v>
      </c>
    </row>
    <row r="528" spans="1:6" x14ac:dyDescent="0.3">
      <c r="A528" s="42">
        <v>1116</v>
      </c>
      <c r="B528" s="58" t="s">
        <v>126</v>
      </c>
      <c r="C528" s="42" t="s">
        <v>111</v>
      </c>
      <c r="D528" s="42">
        <v>1</v>
      </c>
      <c r="E528" s="42">
        <v>3500</v>
      </c>
      <c r="F528" s="42">
        <v>3500</v>
      </c>
    </row>
    <row r="529" spans="1:6" x14ac:dyDescent="0.3">
      <c r="A529" s="42">
        <v>1201</v>
      </c>
      <c r="B529" s="58" t="s">
        <v>147</v>
      </c>
      <c r="C529" s="42" t="s">
        <v>111</v>
      </c>
      <c r="D529" s="42">
        <v>1</v>
      </c>
      <c r="E529" s="42">
        <v>3000</v>
      </c>
      <c r="F529" s="42">
        <v>3000</v>
      </c>
    </row>
    <row r="530" spans="1:6" x14ac:dyDescent="0.3">
      <c r="A530" s="42"/>
      <c r="B530" s="58">
        <v>44739.516738425926</v>
      </c>
      <c r="C530" s="42" t="s">
        <v>3</v>
      </c>
      <c r="D530" s="42"/>
      <c r="E530" s="42"/>
      <c r="F530" s="42">
        <v>1168</v>
      </c>
    </row>
    <row r="531" spans="1:6" x14ac:dyDescent="0.3">
      <c r="A531" s="42" t="s">
        <v>5</v>
      </c>
      <c r="B531" s="58" t="s">
        <v>6</v>
      </c>
      <c r="C531" s="42" t="s">
        <v>7</v>
      </c>
      <c r="D531" s="42" t="s">
        <v>8</v>
      </c>
      <c r="E531" s="42" t="s">
        <v>9</v>
      </c>
      <c r="F531" s="42" t="s">
        <v>10</v>
      </c>
    </row>
    <row r="532" spans="1:6" x14ac:dyDescent="0.3">
      <c r="A532" s="42">
        <v>1021</v>
      </c>
      <c r="B532" s="58" t="s">
        <v>64</v>
      </c>
      <c r="C532" s="42" t="s">
        <v>44</v>
      </c>
      <c r="D532" s="42">
        <v>9</v>
      </c>
      <c r="E532" s="42">
        <v>170</v>
      </c>
      <c r="F532" s="42">
        <v>1530</v>
      </c>
    </row>
    <row r="533" spans="1:6" x14ac:dyDescent="0.3">
      <c r="A533" s="42">
        <v>1027</v>
      </c>
      <c r="B533" s="58" t="s">
        <v>68</v>
      </c>
      <c r="C533" s="42" t="s">
        <v>44</v>
      </c>
      <c r="D533" s="42">
        <v>10</v>
      </c>
      <c r="E533" s="42">
        <v>20</v>
      </c>
      <c r="F533" s="42">
        <v>200</v>
      </c>
    </row>
    <row r="534" spans="1:6" x14ac:dyDescent="0.3">
      <c r="A534" s="42">
        <v>1029</v>
      </c>
      <c r="B534" s="58" t="s">
        <v>70</v>
      </c>
      <c r="C534" s="42" t="s">
        <v>44</v>
      </c>
      <c r="D534" s="42">
        <v>1</v>
      </c>
      <c r="E534" s="42">
        <v>40</v>
      </c>
      <c r="F534" s="42">
        <v>40</v>
      </c>
    </row>
    <row r="535" spans="1:6" x14ac:dyDescent="0.3">
      <c r="A535" s="42">
        <v>1030</v>
      </c>
      <c r="B535" s="58" t="s">
        <v>71</v>
      </c>
      <c r="C535" s="42" t="s">
        <v>44</v>
      </c>
      <c r="D535" s="42">
        <v>15</v>
      </c>
      <c r="E535" s="42">
        <v>100</v>
      </c>
      <c r="F535" s="42">
        <v>1500</v>
      </c>
    </row>
    <row r="536" spans="1:6" x14ac:dyDescent="0.3">
      <c r="A536" s="42">
        <v>1036</v>
      </c>
      <c r="B536" s="58" t="s">
        <v>77</v>
      </c>
      <c r="C536" s="42" t="s">
        <v>44</v>
      </c>
      <c r="D536" s="42">
        <v>6</v>
      </c>
      <c r="E536" s="42">
        <v>10</v>
      </c>
      <c r="F536" s="42">
        <v>60</v>
      </c>
    </row>
    <row r="537" spans="1:6" x14ac:dyDescent="0.3">
      <c r="A537" s="42">
        <v>1103</v>
      </c>
      <c r="B537" s="58" t="s">
        <v>113</v>
      </c>
      <c r="C537" s="42" t="s">
        <v>111</v>
      </c>
      <c r="D537" s="42">
        <v>3</v>
      </c>
      <c r="E537" s="42">
        <v>30</v>
      </c>
      <c r="F537" s="42">
        <v>90</v>
      </c>
    </row>
    <row r="538" spans="1:6" x14ac:dyDescent="0.3">
      <c r="A538" s="42">
        <v>1106</v>
      </c>
      <c r="B538" s="58" t="s">
        <v>116</v>
      </c>
      <c r="C538" s="42" t="s">
        <v>111</v>
      </c>
      <c r="D538" s="42">
        <v>2</v>
      </c>
      <c r="E538" s="42">
        <v>45</v>
      </c>
      <c r="F538" s="42">
        <v>90</v>
      </c>
    </row>
    <row r="539" spans="1:6" x14ac:dyDescent="0.3">
      <c r="A539" s="42">
        <v>1113</v>
      </c>
      <c r="B539" s="58" t="s">
        <v>123</v>
      </c>
      <c r="C539" s="42" t="s">
        <v>111</v>
      </c>
      <c r="D539" s="42">
        <v>3</v>
      </c>
      <c r="E539" s="42">
        <v>1000</v>
      </c>
      <c r="F539" s="42">
        <v>3000</v>
      </c>
    </row>
    <row r="540" spans="1:6" x14ac:dyDescent="0.3">
      <c r="A540" s="42">
        <v>1114</v>
      </c>
      <c r="B540" s="58" t="s">
        <v>124</v>
      </c>
      <c r="C540" s="42" t="s">
        <v>111</v>
      </c>
      <c r="D540" s="42">
        <v>1</v>
      </c>
      <c r="E540" s="42">
        <v>450</v>
      </c>
      <c r="F540" s="42">
        <v>450</v>
      </c>
    </row>
    <row r="541" spans="1:6" x14ac:dyDescent="0.3">
      <c r="A541" s="42">
        <v>1201</v>
      </c>
      <c r="B541" s="58" t="s">
        <v>147</v>
      </c>
      <c r="C541" s="42" t="s">
        <v>111</v>
      </c>
      <c r="D541" s="42">
        <v>1</v>
      </c>
      <c r="E541" s="42">
        <v>3000</v>
      </c>
      <c r="F541" s="42">
        <v>3000</v>
      </c>
    </row>
    <row r="542" spans="1:6" x14ac:dyDescent="0.3">
      <c r="A542" s="42"/>
      <c r="B542" s="58">
        <v>44739.531015162036</v>
      </c>
      <c r="C542" s="42" t="s">
        <v>3</v>
      </c>
      <c r="D542" s="42"/>
      <c r="E542" s="42"/>
      <c r="F542" s="42">
        <v>1169</v>
      </c>
    </row>
    <row r="543" spans="1:6" x14ac:dyDescent="0.3">
      <c r="A543" s="42" t="s">
        <v>5</v>
      </c>
      <c r="B543" s="58" t="s">
        <v>6</v>
      </c>
      <c r="C543" s="42" t="s">
        <v>7</v>
      </c>
      <c r="D543" s="42" t="s">
        <v>8</v>
      </c>
      <c r="E543" s="42" t="s">
        <v>9</v>
      </c>
      <c r="F543" s="42" t="s">
        <v>10</v>
      </c>
    </row>
    <row r="544" spans="1:6" x14ac:dyDescent="0.3">
      <c r="A544" s="42">
        <v>1113</v>
      </c>
      <c r="B544" s="58" t="s">
        <v>123</v>
      </c>
      <c r="C544" s="42" t="s">
        <v>111</v>
      </c>
      <c r="D544" s="42">
        <v>3</v>
      </c>
      <c r="E544" s="42">
        <v>1000</v>
      </c>
      <c r="F544" s="42">
        <v>3000</v>
      </c>
    </row>
    <row r="545" spans="1:6" x14ac:dyDescent="0.3">
      <c r="A545" s="42">
        <v>1201</v>
      </c>
      <c r="B545" s="58" t="s">
        <v>147</v>
      </c>
      <c r="C545" s="42" t="s">
        <v>111</v>
      </c>
      <c r="D545" s="42">
        <v>1</v>
      </c>
      <c r="E545" s="42">
        <v>3000</v>
      </c>
      <c r="F545" s="42">
        <v>3000</v>
      </c>
    </row>
    <row r="546" spans="1:6" x14ac:dyDescent="0.3">
      <c r="A546" s="42">
        <v>1056</v>
      </c>
      <c r="B546" s="58" t="s">
        <v>98</v>
      </c>
      <c r="C546" s="42" t="s">
        <v>44</v>
      </c>
      <c r="D546" s="42">
        <v>10</v>
      </c>
      <c r="E546" s="42">
        <v>5</v>
      </c>
      <c r="F546" s="42">
        <v>50</v>
      </c>
    </row>
    <row r="547" spans="1:6" x14ac:dyDescent="0.3">
      <c r="A547" s="42"/>
      <c r="B547" s="58">
        <v>44739.566761921298</v>
      </c>
      <c r="C547" s="42" t="s">
        <v>3</v>
      </c>
      <c r="D547" s="42"/>
      <c r="E547" s="42"/>
      <c r="F547" s="42">
        <v>1170</v>
      </c>
    </row>
    <row r="548" spans="1:6" x14ac:dyDescent="0.3">
      <c r="A548" s="42" t="s">
        <v>5</v>
      </c>
      <c r="B548" s="58" t="s">
        <v>6</v>
      </c>
      <c r="C548" s="42" t="s">
        <v>7</v>
      </c>
      <c r="D548" s="42" t="s">
        <v>8</v>
      </c>
      <c r="E548" s="42" t="s">
        <v>9</v>
      </c>
      <c r="F548" s="42" t="s">
        <v>10</v>
      </c>
    </row>
    <row r="549" spans="1:6" x14ac:dyDescent="0.3">
      <c r="A549" s="42">
        <v>1030</v>
      </c>
      <c r="B549" s="58" t="s">
        <v>71</v>
      </c>
      <c r="C549" s="42" t="s">
        <v>44</v>
      </c>
      <c r="D549" s="42">
        <v>25</v>
      </c>
      <c r="E549" s="42">
        <v>100</v>
      </c>
      <c r="F549" s="42">
        <v>2500</v>
      </c>
    </row>
    <row r="550" spans="1:6" x14ac:dyDescent="0.3">
      <c r="A550" s="42">
        <v>1047</v>
      </c>
      <c r="B550" s="58" t="s">
        <v>89</v>
      </c>
      <c r="C550" s="42" t="s">
        <v>44</v>
      </c>
      <c r="D550" s="42">
        <v>1</v>
      </c>
      <c r="E550" s="42">
        <v>125</v>
      </c>
      <c r="F550" s="42">
        <v>125</v>
      </c>
    </row>
    <row r="551" spans="1:6" x14ac:dyDescent="0.3">
      <c r="A551" s="42">
        <v>1049</v>
      </c>
      <c r="B551" s="58" t="s">
        <v>91</v>
      </c>
      <c r="C551" s="42" t="s">
        <v>44</v>
      </c>
      <c r="D551" s="42">
        <v>1</v>
      </c>
      <c r="E551" s="42">
        <v>350</v>
      </c>
      <c r="F551" s="42">
        <v>350</v>
      </c>
    </row>
    <row r="552" spans="1:6" x14ac:dyDescent="0.3">
      <c r="A552" s="42">
        <v>1113</v>
      </c>
      <c r="B552" s="58" t="s">
        <v>123</v>
      </c>
      <c r="C552" s="42" t="s">
        <v>111</v>
      </c>
      <c r="D552" s="42">
        <v>2</v>
      </c>
      <c r="E552" s="42">
        <v>1000</v>
      </c>
      <c r="F552" s="42">
        <v>2000</v>
      </c>
    </row>
    <row r="553" spans="1:6" x14ac:dyDescent="0.3">
      <c r="A553" s="42">
        <v>1114</v>
      </c>
      <c r="B553" s="58" t="s">
        <v>124</v>
      </c>
      <c r="C553" s="42" t="s">
        <v>111</v>
      </c>
      <c r="D553" s="42">
        <v>1</v>
      </c>
      <c r="E553" s="42">
        <v>450</v>
      </c>
      <c r="F553" s="42">
        <v>450</v>
      </c>
    </row>
    <row r="554" spans="1:6" x14ac:dyDescent="0.3">
      <c r="A554" s="42">
        <v>1201</v>
      </c>
      <c r="B554" s="58" t="s">
        <v>147</v>
      </c>
      <c r="C554" s="42" t="s">
        <v>111</v>
      </c>
      <c r="D554" s="42">
        <v>1</v>
      </c>
      <c r="E554" s="42">
        <v>3000</v>
      </c>
      <c r="F554" s="42">
        <v>3000</v>
      </c>
    </row>
    <row r="555" spans="1:6" x14ac:dyDescent="0.3">
      <c r="A555" s="42"/>
      <c r="B555" s="58">
        <v>44739.56822627315</v>
      </c>
      <c r="C555" s="42" t="s">
        <v>3</v>
      </c>
      <c r="D555" s="42"/>
      <c r="E555" s="42"/>
      <c r="F555" s="42">
        <v>1171</v>
      </c>
    </row>
    <row r="556" spans="1:6" x14ac:dyDescent="0.3">
      <c r="A556" s="42" t="s">
        <v>5</v>
      </c>
      <c r="B556" s="58" t="s">
        <v>6</v>
      </c>
      <c r="C556" s="42" t="s">
        <v>7</v>
      </c>
      <c r="D556" s="42" t="s">
        <v>8</v>
      </c>
      <c r="E556" s="42" t="s">
        <v>9</v>
      </c>
      <c r="F556" s="42" t="s">
        <v>10</v>
      </c>
    </row>
    <row r="557" spans="1:6" x14ac:dyDescent="0.3">
      <c r="A557" s="42">
        <v>1021</v>
      </c>
      <c r="B557" s="58" t="s">
        <v>64</v>
      </c>
      <c r="C557" s="42" t="s">
        <v>44</v>
      </c>
      <c r="D557" s="42">
        <v>6</v>
      </c>
      <c r="E557" s="42">
        <v>170</v>
      </c>
      <c r="F557" s="42">
        <v>1020</v>
      </c>
    </row>
    <row r="558" spans="1:6" x14ac:dyDescent="0.3">
      <c r="A558" s="42">
        <v>1030</v>
      </c>
      <c r="B558" s="58" t="s">
        <v>71</v>
      </c>
      <c r="C558" s="42" t="s">
        <v>44</v>
      </c>
      <c r="D558" s="42">
        <v>20</v>
      </c>
      <c r="E558" s="42">
        <v>100</v>
      </c>
      <c r="F558" s="42">
        <v>2000</v>
      </c>
    </row>
    <row r="559" spans="1:6" x14ac:dyDescent="0.3">
      <c r="A559" s="42">
        <v>1031</v>
      </c>
      <c r="B559" s="58" t="s">
        <v>72</v>
      </c>
      <c r="C559" s="42" t="s">
        <v>44</v>
      </c>
      <c r="D559" s="42">
        <v>12</v>
      </c>
      <c r="E559" s="42">
        <v>80</v>
      </c>
      <c r="F559" s="42">
        <v>960</v>
      </c>
    </row>
    <row r="560" spans="1:6" x14ac:dyDescent="0.3">
      <c r="A560" s="42">
        <v>1035</v>
      </c>
      <c r="B560" s="58" t="s">
        <v>76</v>
      </c>
      <c r="C560" s="42" t="s">
        <v>44</v>
      </c>
      <c r="D560" s="42">
        <v>1</v>
      </c>
      <c r="E560" s="42">
        <v>110</v>
      </c>
      <c r="F560" s="42">
        <v>110</v>
      </c>
    </row>
    <row r="561" spans="1:6" x14ac:dyDescent="0.3">
      <c r="A561" s="42">
        <v>1037</v>
      </c>
      <c r="B561" s="58" t="s">
        <v>78</v>
      </c>
      <c r="C561" s="42" t="s">
        <v>79</v>
      </c>
      <c r="D561" s="42">
        <v>6</v>
      </c>
      <c r="E561" s="42">
        <v>50</v>
      </c>
      <c r="F561" s="42">
        <v>300</v>
      </c>
    </row>
    <row r="562" spans="1:6" x14ac:dyDescent="0.3">
      <c r="A562" s="42">
        <v>1049</v>
      </c>
      <c r="B562" s="58" t="s">
        <v>91</v>
      </c>
      <c r="C562" s="42" t="s">
        <v>44</v>
      </c>
      <c r="D562" s="42">
        <v>1</v>
      </c>
      <c r="E562" s="42">
        <v>350</v>
      </c>
      <c r="F562" s="42">
        <v>350</v>
      </c>
    </row>
    <row r="563" spans="1:6" x14ac:dyDescent="0.3">
      <c r="A563" s="42"/>
      <c r="B563" s="58">
        <v>44739.622171643518</v>
      </c>
      <c r="C563" s="42" t="s">
        <v>3</v>
      </c>
      <c r="D563" s="42"/>
      <c r="E563" s="42"/>
      <c r="F563" s="42">
        <v>1172</v>
      </c>
    </row>
    <row r="564" spans="1:6" x14ac:dyDescent="0.3">
      <c r="A564" s="42" t="s">
        <v>5</v>
      </c>
      <c r="B564" s="58" t="s">
        <v>6</v>
      </c>
      <c r="C564" s="42" t="s">
        <v>7</v>
      </c>
      <c r="D564" s="42" t="s">
        <v>8</v>
      </c>
      <c r="E564" s="42" t="s">
        <v>9</v>
      </c>
      <c r="F564" s="42" t="s">
        <v>10</v>
      </c>
    </row>
    <row r="565" spans="1:6" x14ac:dyDescent="0.3">
      <c r="A565" s="42">
        <v>1030</v>
      </c>
      <c r="B565" s="58" t="s">
        <v>71</v>
      </c>
      <c r="C565" s="42" t="s">
        <v>44</v>
      </c>
      <c r="D565" s="42">
        <v>25</v>
      </c>
      <c r="E565" s="42">
        <v>100</v>
      </c>
      <c r="F565" s="42">
        <v>2500</v>
      </c>
    </row>
    <row r="566" spans="1:6" x14ac:dyDescent="0.3">
      <c r="A566" s="42">
        <v>1113</v>
      </c>
      <c r="B566" s="58" t="s">
        <v>123</v>
      </c>
      <c r="C566" s="42" t="s">
        <v>111</v>
      </c>
      <c r="D566" s="42">
        <v>1</v>
      </c>
      <c r="E566" s="42">
        <v>1000</v>
      </c>
      <c r="F566" s="42">
        <v>1000</v>
      </c>
    </row>
    <row r="567" spans="1:6" x14ac:dyDescent="0.3">
      <c r="A567" s="42">
        <v>1114</v>
      </c>
      <c r="B567" s="58" t="s">
        <v>124</v>
      </c>
      <c r="C567" s="42" t="s">
        <v>111</v>
      </c>
      <c r="D567" s="42">
        <v>1</v>
      </c>
      <c r="E567" s="42">
        <v>450</v>
      </c>
      <c r="F567" s="42">
        <v>450</v>
      </c>
    </row>
    <row r="568" spans="1:6" x14ac:dyDescent="0.3">
      <c r="A568" s="42">
        <v>1201</v>
      </c>
      <c r="B568" s="58" t="s">
        <v>147</v>
      </c>
      <c r="C568" s="42" t="s">
        <v>111</v>
      </c>
      <c r="D568" s="42">
        <v>1</v>
      </c>
      <c r="E568" s="42">
        <v>3000</v>
      </c>
      <c r="F568" s="42">
        <v>3000</v>
      </c>
    </row>
    <row r="569" spans="1:6" x14ac:dyDescent="0.3">
      <c r="A569" s="42"/>
      <c r="B569" s="58">
        <v>44739.624085763891</v>
      </c>
      <c r="C569" s="42" t="s">
        <v>3</v>
      </c>
      <c r="D569" s="42"/>
      <c r="E569" s="42"/>
      <c r="F569" s="42">
        <v>1173</v>
      </c>
    </row>
    <row r="570" spans="1:6" x14ac:dyDescent="0.3">
      <c r="A570" s="42" t="s">
        <v>5</v>
      </c>
      <c r="B570" s="58" t="s">
        <v>6</v>
      </c>
      <c r="C570" s="42" t="s">
        <v>7</v>
      </c>
      <c r="D570" s="42" t="s">
        <v>8</v>
      </c>
      <c r="E570" s="42" t="s">
        <v>9</v>
      </c>
      <c r="F570" s="42" t="s">
        <v>10</v>
      </c>
    </row>
    <row r="571" spans="1:6" x14ac:dyDescent="0.3">
      <c r="A571" s="42">
        <v>1002</v>
      </c>
      <c r="B571" s="58" t="s">
        <v>45</v>
      </c>
      <c r="C571" s="42" t="s">
        <v>44</v>
      </c>
      <c r="D571" s="42">
        <v>1</v>
      </c>
      <c r="E571" s="42">
        <v>750</v>
      </c>
      <c r="F571" s="42">
        <v>750</v>
      </c>
    </row>
    <row r="572" spans="1:6" x14ac:dyDescent="0.3">
      <c r="A572" s="42">
        <v>1025</v>
      </c>
      <c r="B572" s="58" t="s">
        <v>14</v>
      </c>
      <c r="C572" s="42" t="s">
        <v>44</v>
      </c>
      <c r="D572" s="42">
        <v>2</v>
      </c>
      <c r="E572" s="42">
        <v>200</v>
      </c>
      <c r="F572" s="42">
        <v>400</v>
      </c>
    </row>
    <row r="573" spans="1:6" x14ac:dyDescent="0.3">
      <c r="A573" s="42">
        <v>1026</v>
      </c>
      <c r="B573" s="58" t="s">
        <v>67</v>
      </c>
      <c r="C573" s="42" t="s">
        <v>44</v>
      </c>
      <c r="D573" s="42">
        <v>2</v>
      </c>
      <c r="E573" s="42">
        <v>60</v>
      </c>
      <c r="F573" s="42">
        <v>120</v>
      </c>
    </row>
    <row r="574" spans="1:6" x14ac:dyDescent="0.3">
      <c r="A574" s="42">
        <v>1028</v>
      </c>
      <c r="B574" s="58" t="s">
        <v>69</v>
      </c>
      <c r="C574" s="42" t="s">
        <v>44</v>
      </c>
      <c r="D574" s="42">
        <v>2</v>
      </c>
      <c r="E574" s="42">
        <v>40</v>
      </c>
      <c r="F574" s="42">
        <v>80</v>
      </c>
    </row>
    <row r="575" spans="1:6" x14ac:dyDescent="0.3">
      <c r="A575" s="42">
        <v>1030</v>
      </c>
      <c r="B575" s="58" t="s">
        <v>71</v>
      </c>
      <c r="C575" s="42" t="s">
        <v>44</v>
      </c>
      <c r="D575" s="42">
        <v>25</v>
      </c>
      <c r="E575" s="42">
        <v>100</v>
      </c>
      <c r="F575" s="42">
        <v>2500</v>
      </c>
    </row>
    <row r="576" spans="1:6" x14ac:dyDescent="0.3">
      <c r="A576" s="42">
        <v>1103</v>
      </c>
      <c r="B576" s="58" t="s">
        <v>113</v>
      </c>
      <c r="C576" s="42" t="s">
        <v>111</v>
      </c>
      <c r="D576" s="42">
        <v>8</v>
      </c>
      <c r="E576" s="42">
        <v>30</v>
      </c>
      <c r="F576" s="42">
        <v>240</v>
      </c>
    </row>
    <row r="577" spans="1:6" x14ac:dyDescent="0.3">
      <c r="A577" s="42">
        <v>1106</v>
      </c>
      <c r="B577" s="58" t="s">
        <v>116</v>
      </c>
      <c r="C577" s="42" t="s">
        <v>111</v>
      </c>
      <c r="D577" s="42">
        <v>5</v>
      </c>
      <c r="E577" s="42">
        <v>45</v>
      </c>
      <c r="F577" s="42">
        <v>225</v>
      </c>
    </row>
    <row r="578" spans="1:6" x14ac:dyDescent="0.3">
      <c r="A578" s="42">
        <v>1108</v>
      </c>
      <c r="B578" s="58" t="s">
        <v>118</v>
      </c>
      <c r="C578" s="42" t="s">
        <v>111</v>
      </c>
      <c r="D578" s="42">
        <v>4</v>
      </c>
      <c r="E578" s="42">
        <v>5</v>
      </c>
      <c r="F578" s="42">
        <v>20</v>
      </c>
    </row>
    <row r="579" spans="1:6" x14ac:dyDescent="0.3">
      <c r="A579" s="42">
        <v>1113</v>
      </c>
      <c r="B579" s="58" t="s">
        <v>123</v>
      </c>
      <c r="C579" s="42" t="s">
        <v>111</v>
      </c>
      <c r="D579" s="42">
        <v>3</v>
      </c>
      <c r="E579" s="42">
        <v>1000</v>
      </c>
      <c r="F579" s="42">
        <v>3000</v>
      </c>
    </row>
    <row r="580" spans="1:6" x14ac:dyDescent="0.3">
      <c r="A580" s="42">
        <v>1134</v>
      </c>
      <c r="B580" s="58" t="s">
        <v>145</v>
      </c>
      <c r="C580" s="42" t="s">
        <v>111</v>
      </c>
      <c r="D580" s="42">
        <v>1</v>
      </c>
      <c r="E580" s="42">
        <v>150</v>
      </c>
      <c r="F580" s="42">
        <v>150</v>
      </c>
    </row>
    <row r="581" spans="1:6" x14ac:dyDescent="0.3">
      <c r="A581" s="42">
        <v>1201</v>
      </c>
      <c r="B581" s="58" t="s">
        <v>147</v>
      </c>
      <c r="C581" s="42" t="s">
        <v>111</v>
      </c>
      <c r="D581" s="42">
        <v>1</v>
      </c>
      <c r="E581" s="42">
        <v>3000</v>
      </c>
      <c r="F581" s="42">
        <v>3000</v>
      </c>
    </row>
    <row r="582" spans="1:6" x14ac:dyDescent="0.3">
      <c r="A582" s="42">
        <v>1063</v>
      </c>
      <c r="B582" s="58" t="s">
        <v>105</v>
      </c>
      <c r="C582" s="42" t="s">
        <v>44</v>
      </c>
      <c r="D582" s="42">
        <v>1</v>
      </c>
      <c r="E582" s="42">
        <v>400</v>
      </c>
      <c r="F582" s="42">
        <v>400</v>
      </c>
    </row>
    <row r="583" spans="1:6" x14ac:dyDescent="0.3">
      <c r="A583" s="42"/>
      <c r="B583" s="58">
        <v>44739.625583680558</v>
      </c>
      <c r="C583" s="42" t="s">
        <v>3</v>
      </c>
      <c r="D583" s="42"/>
      <c r="E583" s="42"/>
      <c r="F583" s="42">
        <v>1174</v>
      </c>
    </row>
    <row r="584" spans="1:6" x14ac:dyDescent="0.3">
      <c r="A584" s="42" t="s">
        <v>5</v>
      </c>
      <c r="B584" s="58" t="s">
        <v>6</v>
      </c>
      <c r="C584" s="42" t="s">
        <v>7</v>
      </c>
      <c r="D584" s="42" t="s">
        <v>8</v>
      </c>
      <c r="E584" s="42" t="s">
        <v>9</v>
      </c>
      <c r="F584" s="42" t="s">
        <v>10</v>
      </c>
    </row>
    <row r="585" spans="1:6" x14ac:dyDescent="0.3">
      <c r="A585" s="42">
        <v>1003</v>
      </c>
      <c r="B585" s="58" t="s">
        <v>46</v>
      </c>
      <c r="C585" s="42" t="s">
        <v>44</v>
      </c>
      <c r="D585" s="42">
        <v>2</v>
      </c>
      <c r="E585" s="42">
        <v>2000</v>
      </c>
      <c r="F585" s="42">
        <v>4000</v>
      </c>
    </row>
    <row r="586" spans="1:6" x14ac:dyDescent="0.3">
      <c r="A586" s="42">
        <v>1012</v>
      </c>
      <c r="B586" s="58" t="s">
        <v>55</v>
      </c>
      <c r="C586" s="42" t="s">
        <v>44</v>
      </c>
      <c r="D586" s="42">
        <v>1</v>
      </c>
      <c r="E586" s="42">
        <v>1460</v>
      </c>
      <c r="F586" s="42">
        <v>1460</v>
      </c>
    </row>
    <row r="587" spans="1:6" x14ac:dyDescent="0.3">
      <c r="A587" s="42">
        <v>1030</v>
      </c>
      <c r="B587" s="58" t="s">
        <v>71</v>
      </c>
      <c r="C587" s="42" t="s">
        <v>44</v>
      </c>
      <c r="D587" s="42">
        <v>24</v>
      </c>
      <c r="E587" s="42">
        <v>100</v>
      </c>
      <c r="F587" s="42">
        <v>2400</v>
      </c>
    </row>
    <row r="588" spans="1:6" x14ac:dyDescent="0.3">
      <c r="A588" s="42"/>
      <c r="B588" s="58">
        <v>44739.628101851849</v>
      </c>
      <c r="C588" s="42" t="s">
        <v>3</v>
      </c>
      <c r="D588" s="42"/>
      <c r="E588" s="42"/>
      <c r="F588" s="42">
        <v>1175</v>
      </c>
    </row>
    <row r="589" spans="1:6" x14ac:dyDescent="0.3">
      <c r="A589" s="42" t="s">
        <v>5</v>
      </c>
      <c r="B589" s="58" t="s">
        <v>6</v>
      </c>
      <c r="C589" s="42" t="s">
        <v>7</v>
      </c>
      <c r="D589" s="42" t="s">
        <v>8</v>
      </c>
      <c r="E589" s="42" t="s">
        <v>9</v>
      </c>
      <c r="F589" s="42" t="s">
        <v>10</v>
      </c>
    </row>
    <row r="590" spans="1:6" x14ac:dyDescent="0.3">
      <c r="A590" s="42">
        <v>1002</v>
      </c>
      <c r="B590" s="58" t="s">
        <v>45</v>
      </c>
      <c r="C590" s="42" t="s">
        <v>44</v>
      </c>
      <c r="D590" s="42">
        <v>4</v>
      </c>
      <c r="E590" s="42">
        <v>750</v>
      </c>
      <c r="F590" s="42">
        <v>3000</v>
      </c>
    </row>
    <row r="591" spans="1:6" x14ac:dyDescent="0.3">
      <c r="A591" s="42">
        <v>1021</v>
      </c>
      <c r="B591" s="58" t="s">
        <v>64</v>
      </c>
      <c r="C591" s="42" t="s">
        <v>44</v>
      </c>
      <c r="D591" s="42">
        <v>10</v>
      </c>
      <c r="E591" s="42">
        <v>170</v>
      </c>
      <c r="F591" s="42">
        <v>1700</v>
      </c>
    </row>
    <row r="592" spans="1:6" x14ac:dyDescent="0.3">
      <c r="A592" s="42">
        <v>1030</v>
      </c>
      <c r="B592" s="58" t="s">
        <v>71</v>
      </c>
      <c r="C592" s="42" t="s">
        <v>44</v>
      </c>
      <c r="D592" s="42">
        <v>20</v>
      </c>
      <c r="E592" s="42">
        <v>100</v>
      </c>
      <c r="F592" s="42">
        <v>2000</v>
      </c>
    </row>
    <row r="593" spans="1:6" x14ac:dyDescent="0.3">
      <c r="A593" s="42">
        <v>1040</v>
      </c>
      <c r="B593" s="58" t="s">
        <v>82</v>
      </c>
      <c r="C593" s="42" t="s">
        <v>44</v>
      </c>
      <c r="D593" s="42">
        <v>10</v>
      </c>
      <c r="E593" s="42">
        <v>20</v>
      </c>
      <c r="F593" s="42">
        <v>200</v>
      </c>
    </row>
    <row r="594" spans="1:6" x14ac:dyDescent="0.3">
      <c r="A594" s="42">
        <v>1106</v>
      </c>
      <c r="B594" s="58" t="s">
        <v>116</v>
      </c>
      <c r="C594" s="42" t="s">
        <v>111</v>
      </c>
      <c r="D594" s="42">
        <v>5</v>
      </c>
      <c r="E594" s="42">
        <v>45</v>
      </c>
      <c r="F594" s="42">
        <v>225</v>
      </c>
    </row>
    <row r="595" spans="1:6" x14ac:dyDescent="0.3">
      <c r="A595" s="42">
        <v>1108</v>
      </c>
      <c r="B595" s="58" t="s">
        <v>118</v>
      </c>
      <c r="C595" s="42" t="s">
        <v>111</v>
      </c>
      <c r="D595" s="42">
        <v>4</v>
      </c>
      <c r="E595" s="42">
        <v>5</v>
      </c>
      <c r="F595" s="42">
        <v>20</v>
      </c>
    </row>
    <row r="596" spans="1:6" x14ac:dyDescent="0.3">
      <c r="A596" s="42">
        <v>1113</v>
      </c>
      <c r="B596" s="58" t="s">
        <v>123</v>
      </c>
      <c r="C596" s="42" t="s">
        <v>111</v>
      </c>
      <c r="D596" s="42">
        <v>3</v>
      </c>
      <c r="E596" s="42">
        <v>1000</v>
      </c>
      <c r="F596" s="42">
        <v>3000</v>
      </c>
    </row>
    <row r="597" spans="1:6" x14ac:dyDescent="0.3">
      <c r="A597" s="42">
        <v>1114</v>
      </c>
      <c r="B597" s="58" t="s">
        <v>124</v>
      </c>
      <c r="C597" s="42" t="s">
        <v>111</v>
      </c>
      <c r="D597" s="42">
        <v>10</v>
      </c>
      <c r="E597" s="42">
        <v>450</v>
      </c>
      <c r="F597" s="42">
        <v>4500</v>
      </c>
    </row>
    <row r="598" spans="1:6" x14ac:dyDescent="0.3">
      <c r="A598" s="42">
        <v>1201</v>
      </c>
      <c r="B598" s="58" t="s">
        <v>147</v>
      </c>
      <c r="C598" s="42" t="s">
        <v>111</v>
      </c>
      <c r="D598" s="42">
        <v>1</v>
      </c>
      <c r="E598" s="42">
        <v>3000</v>
      </c>
      <c r="F598" s="42">
        <v>3000</v>
      </c>
    </row>
    <row r="599" spans="1:6" x14ac:dyDescent="0.3">
      <c r="A599" s="42"/>
      <c r="B599" s="58">
        <v>44739.635783680555</v>
      </c>
      <c r="C599" s="42" t="s">
        <v>3</v>
      </c>
      <c r="D599" s="42"/>
      <c r="E599" s="42"/>
      <c r="F599" s="42">
        <v>1176</v>
      </c>
    </row>
    <row r="600" spans="1:6" x14ac:dyDescent="0.3">
      <c r="A600" s="42" t="s">
        <v>5</v>
      </c>
      <c r="B600" s="58" t="s">
        <v>6</v>
      </c>
      <c r="C600" s="42" t="s">
        <v>7</v>
      </c>
      <c r="D600" s="42" t="s">
        <v>8</v>
      </c>
      <c r="E600" s="42" t="s">
        <v>9</v>
      </c>
      <c r="F600" s="42" t="s">
        <v>10</v>
      </c>
    </row>
    <row r="601" spans="1:6" x14ac:dyDescent="0.3">
      <c r="A601" s="42">
        <v>1201</v>
      </c>
      <c r="B601" s="58" t="s">
        <v>147</v>
      </c>
      <c r="C601" s="42" t="s">
        <v>111</v>
      </c>
      <c r="D601" s="42">
        <v>1</v>
      </c>
      <c r="E601" s="42">
        <v>3000</v>
      </c>
      <c r="F601" s="42">
        <v>3000</v>
      </c>
    </row>
    <row r="602" spans="1:6" x14ac:dyDescent="0.3">
      <c r="A602" s="42"/>
      <c r="B602" s="58">
        <v>44739.664270370369</v>
      </c>
      <c r="C602" s="42" t="s">
        <v>3</v>
      </c>
      <c r="D602" s="42"/>
      <c r="E602" s="42"/>
      <c r="F602" s="42">
        <v>1177</v>
      </c>
    </row>
    <row r="603" spans="1:6" x14ac:dyDescent="0.3">
      <c r="A603" s="42" t="s">
        <v>5</v>
      </c>
      <c r="B603" s="58" t="s">
        <v>6</v>
      </c>
      <c r="C603" s="42" t="s">
        <v>7</v>
      </c>
      <c r="D603" s="42" t="s">
        <v>8</v>
      </c>
      <c r="E603" s="42" t="s">
        <v>9</v>
      </c>
      <c r="F603" s="42" t="s">
        <v>10</v>
      </c>
    </row>
    <row r="604" spans="1:6" x14ac:dyDescent="0.3">
      <c r="A604" s="42">
        <v>1049</v>
      </c>
      <c r="B604" s="58" t="s">
        <v>91</v>
      </c>
      <c r="C604" s="42" t="s">
        <v>44</v>
      </c>
      <c r="D604" s="42">
        <v>1</v>
      </c>
      <c r="E604" s="42">
        <v>350</v>
      </c>
      <c r="F604" s="42">
        <v>350</v>
      </c>
    </row>
    <row r="605" spans="1:6" x14ac:dyDescent="0.3">
      <c r="A605" s="42">
        <v>1056</v>
      </c>
      <c r="B605" s="58" t="s">
        <v>98</v>
      </c>
      <c r="C605" s="42" t="s">
        <v>44</v>
      </c>
      <c r="D605" s="42">
        <v>24</v>
      </c>
      <c r="E605" s="42">
        <v>5</v>
      </c>
      <c r="F605" s="42">
        <v>120</v>
      </c>
    </row>
    <row r="606" spans="1:6" x14ac:dyDescent="0.3">
      <c r="A606" s="42">
        <v>1113</v>
      </c>
      <c r="B606" s="58" t="s">
        <v>123</v>
      </c>
      <c r="C606" s="42" t="s">
        <v>111</v>
      </c>
      <c r="D606" s="42">
        <v>1</v>
      </c>
      <c r="E606" s="42">
        <v>1000</v>
      </c>
      <c r="F606" s="42">
        <v>1000</v>
      </c>
    </row>
    <row r="607" spans="1:6" x14ac:dyDescent="0.3">
      <c r="A607" s="42">
        <v>1114</v>
      </c>
      <c r="B607" s="58" t="s">
        <v>124</v>
      </c>
      <c r="C607" s="42" t="s">
        <v>111</v>
      </c>
      <c r="D607" s="42">
        <v>2</v>
      </c>
      <c r="E607" s="42">
        <v>450</v>
      </c>
      <c r="F607" s="42">
        <v>900</v>
      </c>
    </row>
    <row r="608" spans="1:6" x14ac:dyDescent="0.3">
      <c r="A608" s="42">
        <v>1134</v>
      </c>
      <c r="B608" s="58" t="s">
        <v>145</v>
      </c>
      <c r="C608" s="42" t="s">
        <v>111</v>
      </c>
      <c r="D608" s="42">
        <v>1</v>
      </c>
      <c r="E608" s="42">
        <v>150</v>
      </c>
      <c r="F608" s="42">
        <v>150</v>
      </c>
    </row>
    <row r="609" spans="1:6" x14ac:dyDescent="0.3">
      <c r="A609" s="42">
        <v>1201</v>
      </c>
      <c r="B609" s="58" t="s">
        <v>147</v>
      </c>
      <c r="C609" s="42" t="s">
        <v>111</v>
      </c>
      <c r="D609" s="42">
        <v>1</v>
      </c>
      <c r="E609" s="42">
        <v>3000</v>
      </c>
      <c r="F609" s="42">
        <v>3000</v>
      </c>
    </row>
    <row r="610" spans="1:6" x14ac:dyDescent="0.3">
      <c r="A610" s="42"/>
      <c r="B610" s="58">
        <v>44739.664965162039</v>
      </c>
      <c r="C610" s="42" t="s">
        <v>3</v>
      </c>
      <c r="D610" s="42"/>
      <c r="E610" s="42"/>
      <c r="F610" s="42">
        <v>1178</v>
      </c>
    </row>
    <row r="611" spans="1:6" x14ac:dyDescent="0.3">
      <c r="A611" s="42" t="s">
        <v>5</v>
      </c>
      <c r="B611" s="58" t="s">
        <v>6</v>
      </c>
      <c r="C611" s="42" t="s">
        <v>7</v>
      </c>
      <c r="D611" s="42" t="s">
        <v>8</v>
      </c>
      <c r="E611" s="42" t="s">
        <v>9</v>
      </c>
      <c r="F611" s="42" t="s">
        <v>10</v>
      </c>
    </row>
    <row r="612" spans="1:6" x14ac:dyDescent="0.3">
      <c r="A612" s="42">
        <v>1103</v>
      </c>
      <c r="B612" s="58" t="s">
        <v>113</v>
      </c>
      <c r="C612" s="42" t="s">
        <v>111</v>
      </c>
      <c r="D612" s="42">
        <v>1</v>
      </c>
      <c r="E612" s="42">
        <v>30</v>
      </c>
      <c r="F612" s="42">
        <v>30</v>
      </c>
    </row>
    <row r="613" spans="1:6" x14ac:dyDescent="0.3">
      <c r="A613" s="42">
        <v>1106</v>
      </c>
      <c r="B613" s="58" t="s">
        <v>116</v>
      </c>
      <c r="C613" s="42" t="s">
        <v>111</v>
      </c>
      <c r="D613" s="42">
        <v>1</v>
      </c>
      <c r="E613" s="42">
        <v>45</v>
      </c>
      <c r="F613" s="42">
        <v>45</v>
      </c>
    </row>
    <row r="614" spans="1:6" x14ac:dyDescent="0.3">
      <c r="A614" s="42">
        <v>1108</v>
      </c>
      <c r="B614" s="58" t="s">
        <v>118</v>
      </c>
      <c r="C614" s="42" t="s">
        <v>111</v>
      </c>
      <c r="D614" s="42">
        <v>2</v>
      </c>
      <c r="E614" s="42">
        <v>5</v>
      </c>
      <c r="F614" s="42">
        <v>10</v>
      </c>
    </row>
    <row r="615" spans="1:6" x14ac:dyDescent="0.3">
      <c r="A615" s="42">
        <v>1201</v>
      </c>
      <c r="B615" s="58" t="s">
        <v>147</v>
      </c>
      <c r="C615" s="42" t="s">
        <v>111</v>
      </c>
      <c r="D615" s="42">
        <v>1</v>
      </c>
      <c r="E615" s="42">
        <v>3000</v>
      </c>
      <c r="F615" s="42">
        <v>3000</v>
      </c>
    </row>
    <row r="616" spans="1:6" x14ac:dyDescent="0.3">
      <c r="A616" s="42"/>
      <c r="B616" s="58">
        <v>44739.673718981481</v>
      </c>
      <c r="C616" s="42" t="s">
        <v>3</v>
      </c>
      <c r="D616" s="42"/>
      <c r="E616" s="42"/>
      <c r="F616" s="42">
        <v>1179</v>
      </c>
    </row>
    <row r="617" spans="1:6" x14ac:dyDescent="0.3">
      <c r="A617" s="42" t="s">
        <v>5</v>
      </c>
      <c r="B617" s="58" t="s">
        <v>6</v>
      </c>
      <c r="C617" s="42" t="s">
        <v>7</v>
      </c>
      <c r="D617" s="42" t="s">
        <v>8</v>
      </c>
      <c r="E617" s="42" t="s">
        <v>9</v>
      </c>
      <c r="F617" s="42" t="s">
        <v>10</v>
      </c>
    </row>
    <row r="618" spans="1:6" x14ac:dyDescent="0.3">
      <c r="A618" s="42">
        <v>1031</v>
      </c>
      <c r="B618" s="58" t="s">
        <v>72</v>
      </c>
      <c r="C618" s="42" t="s">
        <v>44</v>
      </c>
      <c r="D618" s="42">
        <v>5</v>
      </c>
      <c r="E618" s="42">
        <v>80</v>
      </c>
      <c r="F618" s="42">
        <v>400</v>
      </c>
    </row>
    <row r="619" spans="1:6" x14ac:dyDescent="0.3">
      <c r="A619" s="42">
        <v>1049</v>
      </c>
      <c r="B619" s="58" t="s">
        <v>91</v>
      </c>
      <c r="C619" s="42" t="s">
        <v>44</v>
      </c>
      <c r="D619" s="42">
        <v>1</v>
      </c>
      <c r="E619" s="42">
        <v>350</v>
      </c>
      <c r="F619" s="42">
        <v>350</v>
      </c>
    </row>
    <row r="620" spans="1:6" x14ac:dyDescent="0.3">
      <c r="A620" s="42">
        <v>1103</v>
      </c>
      <c r="B620" s="58" t="s">
        <v>113</v>
      </c>
      <c r="C620" s="42" t="s">
        <v>111</v>
      </c>
      <c r="D620" s="42">
        <v>8</v>
      </c>
      <c r="E620" s="42">
        <v>30</v>
      </c>
      <c r="F620" s="42">
        <v>240</v>
      </c>
    </row>
    <row r="621" spans="1:6" x14ac:dyDescent="0.3">
      <c r="A621" s="42">
        <v>1106</v>
      </c>
      <c r="B621" s="58" t="s">
        <v>116</v>
      </c>
      <c r="C621" s="42" t="s">
        <v>111</v>
      </c>
      <c r="D621" s="42">
        <v>5</v>
      </c>
      <c r="E621" s="42">
        <v>45</v>
      </c>
      <c r="F621" s="42">
        <v>225</v>
      </c>
    </row>
    <row r="622" spans="1:6" x14ac:dyDescent="0.3">
      <c r="A622" s="42">
        <v>1108</v>
      </c>
      <c r="B622" s="58" t="s">
        <v>118</v>
      </c>
      <c r="C622" s="42" t="s">
        <v>111</v>
      </c>
      <c r="D622" s="42">
        <v>8</v>
      </c>
      <c r="E622" s="42">
        <v>5</v>
      </c>
      <c r="F622" s="42">
        <v>40</v>
      </c>
    </row>
    <row r="623" spans="1:6" x14ac:dyDescent="0.3">
      <c r="A623" s="42">
        <v>1113</v>
      </c>
      <c r="B623" s="58" t="s">
        <v>123</v>
      </c>
      <c r="C623" s="42" t="s">
        <v>111</v>
      </c>
      <c r="D623" s="42">
        <v>3</v>
      </c>
      <c r="E623" s="42">
        <v>1000</v>
      </c>
      <c r="F623" s="42">
        <v>3000</v>
      </c>
    </row>
    <row r="624" spans="1:6" x14ac:dyDescent="0.3">
      <c r="A624" s="42">
        <v>1133</v>
      </c>
      <c r="B624" s="58" t="s">
        <v>144</v>
      </c>
      <c r="C624" s="42" t="s">
        <v>111</v>
      </c>
      <c r="D624" s="42">
        <v>2</v>
      </c>
      <c r="E624" s="42">
        <v>130</v>
      </c>
      <c r="F624" s="42">
        <v>260</v>
      </c>
    </row>
    <row r="625" spans="1:6" x14ac:dyDescent="0.3">
      <c r="A625" s="42">
        <v>1201</v>
      </c>
      <c r="B625" s="58" t="s">
        <v>147</v>
      </c>
      <c r="C625" s="42" t="s">
        <v>111</v>
      </c>
      <c r="D625" s="42">
        <v>1</v>
      </c>
      <c r="E625" s="42">
        <v>3000</v>
      </c>
      <c r="F625" s="42">
        <v>3000</v>
      </c>
    </row>
    <row r="626" spans="1:6" x14ac:dyDescent="0.3">
      <c r="A626" s="42">
        <v>1414</v>
      </c>
      <c r="B626" s="58" t="s">
        <v>187</v>
      </c>
      <c r="C626" s="42" t="s">
        <v>111</v>
      </c>
      <c r="D626" s="42">
        <v>1</v>
      </c>
      <c r="E626" s="42">
        <v>170</v>
      </c>
      <c r="F626" s="42">
        <v>170</v>
      </c>
    </row>
    <row r="627" spans="1:6" x14ac:dyDescent="0.3">
      <c r="A627" s="42"/>
      <c r="B627" s="58">
        <v>44739.684245601849</v>
      </c>
      <c r="C627" s="42" t="s">
        <v>3</v>
      </c>
      <c r="D627" s="42"/>
      <c r="E627" s="42"/>
      <c r="F627" s="42">
        <v>1180</v>
      </c>
    </row>
    <row r="628" spans="1:6" x14ac:dyDescent="0.3">
      <c r="A628" s="42" t="s">
        <v>5</v>
      </c>
      <c r="B628" s="58" t="s">
        <v>6</v>
      </c>
      <c r="C628" s="42" t="s">
        <v>7</v>
      </c>
      <c r="D628" s="42" t="s">
        <v>8</v>
      </c>
      <c r="E628" s="42" t="s">
        <v>9</v>
      </c>
      <c r="F628" s="42" t="s">
        <v>10</v>
      </c>
    </row>
    <row r="629" spans="1:6" x14ac:dyDescent="0.3">
      <c r="A629" s="42">
        <v>1001</v>
      </c>
      <c r="B629" s="58" t="s">
        <v>12</v>
      </c>
      <c r="C629" s="42" t="s">
        <v>44</v>
      </c>
      <c r="D629" s="42">
        <v>2</v>
      </c>
      <c r="E629" s="42">
        <v>3000</v>
      </c>
      <c r="F629" s="42">
        <v>6000</v>
      </c>
    </row>
    <row r="630" spans="1:6" x14ac:dyDescent="0.3">
      <c r="A630" s="42">
        <v>1002</v>
      </c>
      <c r="B630" s="58" t="s">
        <v>45</v>
      </c>
      <c r="C630" s="42" t="s">
        <v>44</v>
      </c>
      <c r="D630" s="42">
        <v>6</v>
      </c>
      <c r="E630" s="42">
        <v>750</v>
      </c>
      <c r="F630" s="42">
        <v>4500</v>
      </c>
    </row>
    <row r="631" spans="1:6" x14ac:dyDescent="0.3">
      <c r="A631" s="42">
        <v>1003</v>
      </c>
      <c r="B631" s="58" t="s">
        <v>46</v>
      </c>
      <c r="C631" s="42" t="s">
        <v>44</v>
      </c>
      <c r="D631" s="42">
        <v>1</v>
      </c>
      <c r="E631" s="42">
        <v>2000</v>
      </c>
      <c r="F631" s="42">
        <v>2000</v>
      </c>
    </row>
    <row r="632" spans="1:6" x14ac:dyDescent="0.3">
      <c r="A632" s="42">
        <v>1004</v>
      </c>
      <c r="B632" s="58" t="s">
        <v>47</v>
      </c>
      <c r="C632" s="42" t="s">
        <v>44</v>
      </c>
      <c r="D632" s="42">
        <v>1</v>
      </c>
      <c r="E632" s="42">
        <v>6000</v>
      </c>
      <c r="F632" s="42">
        <v>6000</v>
      </c>
    </row>
    <row r="633" spans="1:6" x14ac:dyDescent="0.3">
      <c r="A633" s="42">
        <v>1010</v>
      </c>
      <c r="B633" s="58" t="s">
        <v>53</v>
      </c>
      <c r="C633" s="42" t="s">
        <v>44</v>
      </c>
      <c r="D633" s="42">
        <v>1</v>
      </c>
      <c r="E633" s="42">
        <v>3600</v>
      </c>
      <c r="F633" s="42">
        <v>3600</v>
      </c>
    </row>
    <row r="634" spans="1:6" x14ac:dyDescent="0.3">
      <c r="A634" s="42">
        <v>1011</v>
      </c>
      <c r="B634" s="58" t="s">
        <v>54</v>
      </c>
      <c r="C634" s="42" t="s">
        <v>44</v>
      </c>
      <c r="D634" s="42">
        <v>1</v>
      </c>
      <c r="E634" s="42">
        <v>3600</v>
      </c>
      <c r="F634" s="42">
        <v>3600</v>
      </c>
    </row>
    <row r="635" spans="1:6" x14ac:dyDescent="0.3">
      <c r="A635" s="42">
        <v>1012</v>
      </c>
      <c r="B635" s="58" t="s">
        <v>55</v>
      </c>
      <c r="C635" s="42" t="s">
        <v>44</v>
      </c>
      <c r="D635" s="42">
        <v>1</v>
      </c>
      <c r="E635" s="42">
        <v>1460</v>
      </c>
      <c r="F635" s="42">
        <v>1460</v>
      </c>
    </row>
    <row r="636" spans="1:6" x14ac:dyDescent="0.3">
      <c r="A636" s="42">
        <v>1013</v>
      </c>
      <c r="B636" s="58" t="s">
        <v>56</v>
      </c>
      <c r="C636" s="42" t="s">
        <v>44</v>
      </c>
      <c r="D636" s="42">
        <v>4</v>
      </c>
      <c r="E636" s="42">
        <v>1000</v>
      </c>
      <c r="F636" s="42">
        <v>4000</v>
      </c>
    </row>
    <row r="637" spans="1:6" x14ac:dyDescent="0.3">
      <c r="A637" s="42">
        <v>1021</v>
      </c>
      <c r="B637" s="58" t="s">
        <v>64</v>
      </c>
      <c r="C637" s="42" t="s">
        <v>44</v>
      </c>
      <c r="D637" s="42">
        <v>10</v>
      </c>
      <c r="E637" s="42">
        <v>170</v>
      </c>
      <c r="F637" s="42">
        <v>1700</v>
      </c>
    </row>
    <row r="638" spans="1:6" x14ac:dyDescent="0.3">
      <c r="A638" s="42">
        <v>1030</v>
      </c>
      <c r="B638" s="58" t="s">
        <v>71</v>
      </c>
      <c r="C638" s="42" t="s">
        <v>44</v>
      </c>
      <c r="D638" s="42">
        <v>32</v>
      </c>
      <c r="E638" s="42">
        <v>100</v>
      </c>
      <c r="F638" s="42">
        <v>3200</v>
      </c>
    </row>
    <row r="639" spans="1:6" x14ac:dyDescent="0.3">
      <c r="A639" s="42">
        <v>1046</v>
      </c>
      <c r="B639" s="58" t="s">
        <v>88</v>
      </c>
      <c r="C639" s="42" t="s">
        <v>44</v>
      </c>
      <c r="D639" s="42">
        <v>1</v>
      </c>
      <c r="E639" s="42">
        <v>125</v>
      </c>
      <c r="F639" s="42">
        <v>125</v>
      </c>
    </row>
    <row r="640" spans="1:6" x14ac:dyDescent="0.3">
      <c r="A640" s="42">
        <v>1047</v>
      </c>
      <c r="B640" s="58" t="s">
        <v>89</v>
      </c>
      <c r="C640" s="42" t="s">
        <v>44</v>
      </c>
      <c r="D640" s="42">
        <v>1</v>
      </c>
      <c r="E640" s="42">
        <v>125</v>
      </c>
      <c r="F640" s="42">
        <v>125</v>
      </c>
    </row>
    <row r="641" spans="1:6" x14ac:dyDescent="0.3">
      <c r="A641" s="42">
        <v>1048</v>
      </c>
      <c r="B641" s="58" t="s">
        <v>90</v>
      </c>
      <c r="C641" s="42" t="s">
        <v>44</v>
      </c>
      <c r="D641" s="42">
        <v>2</v>
      </c>
      <c r="E641" s="42">
        <v>250</v>
      </c>
      <c r="F641" s="42">
        <v>500</v>
      </c>
    </row>
    <row r="642" spans="1:6" x14ac:dyDescent="0.3">
      <c r="A642" s="42">
        <v>1059</v>
      </c>
      <c r="B642" s="58" t="s">
        <v>101</v>
      </c>
      <c r="C642" s="42" t="s">
        <v>44</v>
      </c>
      <c r="D642" s="42">
        <v>2</v>
      </c>
      <c r="E642" s="42">
        <v>100</v>
      </c>
      <c r="F642" s="42">
        <v>200</v>
      </c>
    </row>
    <row r="643" spans="1:6" x14ac:dyDescent="0.3">
      <c r="A643" s="42">
        <v>1063</v>
      </c>
      <c r="B643" s="58" t="s">
        <v>105</v>
      </c>
      <c r="C643" s="42" t="s">
        <v>44</v>
      </c>
      <c r="D643" s="42">
        <v>1</v>
      </c>
      <c r="E643" s="42">
        <v>400</v>
      </c>
      <c r="F643" s="42">
        <v>400</v>
      </c>
    </row>
    <row r="644" spans="1:6" x14ac:dyDescent="0.3">
      <c r="A644" s="42">
        <v>1134</v>
      </c>
      <c r="B644" s="58" t="s">
        <v>145</v>
      </c>
      <c r="C644" s="42" t="s">
        <v>111</v>
      </c>
      <c r="D644" s="42">
        <v>1</v>
      </c>
      <c r="E644" s="42">
        <v>150</v>
      </c>
      <c r="F644" s="42">
        <v>150</v>
      </c>
    </row>
    <row r="645" spans="1:6" x14ac:dyDescent="0.3">
      <c r="A645" s="42">
        <v>1201</v>
      </c>
      <c r="B645" s="58" t="s">
        <v>147</v>
      </c>
      <c r="C645" s="42" t="s">
        <v>111</v>
      </c>
      <c r="D645" s="42">
        <v>1</v>
      </c>
      <c r="E645" s="42">
        <v>3000</v>
      </c>
      <c r="F645" s="42">
        <v>3000</v>
      </c>
    </row>
    <row r="646" spans="1:6" x14ac:dyDescent="0.3">
      <c r="A646" s="42">
        <v>1422</v>
      </c>
      <c r="B646" s="58" t="s">
        <v>195</v>
      </c>
      <c r="C646" s="42" t="s">
        <v>111</v>
      </c>
      <c r="D646" s="42">
        <v>1</v>
      </c>
      <c r="E646" s="42">
        <v>150</v>
      </c>
      <c r="F646" s="42">
        <v>150</v>
      </c>
    </row>
    <row r="647" spans="1:6" x14ac:dyDescent="0.3">
      <c r="A647" s="42"/>
      <c r="B647" s="58">
        <v>44739.719766550923</v>
      </c>
      <c r="C647" s="42" t="s">
        <v>3</v>
      </c>
      <c r="D647" s="42"/>
      <c r="E647" s="42"/>
      <c r="F647" s="42">
        <v>1181</v>
      </c>
    </row>
    <row r="648" spans="1:6" x14ac:dyDescent="0.3">
      <c r="A648" s="42" t="s">
        <v>5</v>
      </c>
      <c r="B648" s="58" t="s">
        <v>6</v>
      </c>
      <c r="C648" s="42" t="s">
        <v>7</v>
      </c>
      <c r="D648" s="42" t="s">
        <v>8</v>
      </c>
      <c r="E648" s="42" t="s">
        <v>9</v>
      </c>
      <c r="F648" s="42" t="s">
        <v>10</v>
      </c>
    </row>
    <row r="649" spans="1:6" x14ac:dyDescent="0.3">
      <c r="A649" s="42">
        <v>1021</v>
      </c>
      <c r="B649" s="58" t="s">
        <v>64</v>
      </c>
      <c r="C649" s="42" t="s">
        <v>44</v>
      </c>
      <c r="D649" s="42">
        <v>10</v>
      </c>
      <c r="E649" s="42">
        <v>170</v>
      </c>
      <c r="F649" s="42">
        <v>1700</v>
      </c>
    </row>
    <row r="650" spans="1:6" x14ac:dyDescent="0.3">
      <c r="A650" s="42">
        <v>1030</v>
      </c>
      <c r="B650" s="58" t="s">
        <v>71</v>
      </c>
      <c r="C650" s="42" t="s">
        <v>44</v>
      </c>
      <c r="D650" s="42">
        <v>10</v>
      </c>
      <c r="E650" s="42">
        <v>100</v>
      </c>
      <c r="F650" s="42">
        <v>1000</v>
      </c>
    </row>
    <row r="651" spans="1:6" x14ac:dyDescent="0.3">
      <c r="A651" s="42">
        <v>1033</v>
      </c>
      <c r="B651" s="58" t="s">
        <v>74</v>
      </c>
      <c r="C651" s="42" t="s">
        <v>44</v>
      </c>
      <c r="D651" s="42">
        <v>4</v>
      </c>
      <c r="E651" s="42">
        <v>180</v>
      </c>
      <c r="F651" s="42">
        <v>720</v>
      </c>
    </row>
    <row r="652" spans="1:6" x14ac:dyDescent="0.3">
      <c r="A652" s="42">
        <v>1034</v>
      </c>
      <c r="B652" s="58" t="s">
        <v>75</v>
      </c>
      <c r="C652" s="42" t="s">
        <v>44</v>
      </c>
      <c r="D652" s="42">
        <v>4</v>
      </c>
      <c r="E652" s="42">
        <v>120</v>
      </c>
      <c r="F652" s="42">
        <v>480</v>
      </c>
    </row>
    <row r="653" spans="1:6" x14ac:dyDescent="0.3">
      <c r="A653" s="42">
        <v>1113</v>
      </c>
      <c r="B653" s="58" t="s">
        <v>123</v>
      </c>
      <c r="C653" s="42" t="s">
        <v>111</v>
      </c>
      <c r="D653" s="42">
        <v>3</v>
      </c>
      <c r="E653" s="42">
        <v>1000</v>
      </c>
      <c r="F653" s="42">
        <v>3000</v>
      </c>
    </row>
    <row r="654" spans="1:6" x14ac:dyDescent="0.3">
      <c r="A654" s="42">
        <v>1201</v>
      </c>
      <c r="B654" s="58" t="s">
        <v>147</v>
      </c>
      <c r="C654" s="42" t="s">
        <v>111</v>
      </c>
      <c r="D654" s="42">
        <v>1</v>
      </c>
      <c r="E654" s="42">
        <v>3000</v>
      </c>
      <c r="F654" s="42">
        <v>3000</v>
      </c>
    </row>
    <row r="655" spans="1:6" x14ac:dyDescent="0.3">
      <c r="A655" s="42"/>
      <c r="B655" s="58">
        <v>44739.721286458334</v>
      </c>
      <c r="C655" s="42" t="s">
        <v>3</v>
      </c>
      <c r="D655" s="42"/>
      <c r="E655" s="42"/>
      <c r="F655" s="42">
        <v>1166</v>
      </c>
    </row>
    <row r="656" spans="1:6" x14ac:dyDescent="0.3">
      <c r="A656" s="42" t="s">
        <v>5</v>
      </c>
      <c r="B656" s="58" t="s">
        <v>6</v>
      </c>
      <c r="C656" s="42" t="s">
        <v>7</v>
      </c>
      <c r="D656" s="42" t="s">
        <v>8</v>
      </c>
      <c r="E656" s="42" t="s">
        <v>9</v>
      </c>
      <c r="F656" s="42" t="s">
        <v>10</v>
      </c>
    </row>
    <row r="657" spans="1:6" x14ac:dyDescent="0.3">
      <c r="A657" s="42">
        <v>1002</v>
      </c>
      <c r="B657" s="58" t="s">
        <v>45</v>
      </c>
      <c r="C657" s="42" t="s">
        <v>44</v>
      </c>
      <c r="D657" s="42">
        <v>2</v>
      </c>
      <c r="E657" s="42">
        <v>750</v>
      </c>
      <c r="F657" s="42">
        <v>1500</v>
      </c>
    </row>
    <row r="658" spans="1:6" x14ac:dyDescent="0.3">
      <c r="A658" s="42">
        <v>1021</v>
      </c>
      <c r="B658" s="58" t="s">
        <v>64</v>
      </c>
      <c r="C658" s="42" t="s">
        <v>44</v>
      </c>
      <c r="D658" s="42">
        <v>6</v>
      </c>
      <c r="E658" s="42">
        <v>170</v>
      </c>
      <c r="F658" s="42">
        <v>1020</v>
      </c>
    </row>
    <row r="659" spans="1:6" x14ac:dyDescent="0.3">
      <c r="A659" s="42">
        <v>1109</v>
      </c>
      <c r="B659" s="58" t="s">
        <v>119</v>
      </c>
      <c r="C659" s="42" t="s">
        <v>111</v>
      </c>
      <c r="D659" s="42">
        <v>1</v>
      </c>
      <c r="E659" s="42">
        <v>400</v>
      </c>
      <c r="F659" s="42">
        <v>400</v>
      </c>
    </row>
    <row r="660" spans="1:6" x14ac:dyDescent="0.3">
      <c r="A660" s="42">
        <v>1053</v>
      </c>
      <c r="B660" s="58" t="s">
        <v>95</v>
      </c>
      <c r="C660" s="42" t="s">
        <v>44</v>
      </c>
      <c r="D660" s="42">
        <v>1</v>
      </c>
      <c r="E660" s="42">
        <v>150</v>
      </c>
      <c r="F660" s="42">
        <v>150</v>
      </c>
    </row>
    <row r="661" spans="1:6" x14ac:dyDescent="0.3">
      <c r="A661" s="42">
        <v>1106</v>
      </c>
      <c r="B661" s="58" t="s">
        <v>116</v>
      </c>
      <c r="C661" s="42" t="s">
        <v>111</v>
      </c>
      <c r="D661" s="42">
        <v>7</v>
      </c>
      <c r="E661" s="42">
        <v>45</v>
      </c>
      <c r="F661" s="42">
        <v>315</v>
      </c>
    </row>
    <row r="662" spans="1:6" x14ac:dyDescent="0.3">
      <c r="A662" s="42">
        <v>1107</v>
      </c>
      <c r="B662" s="58" t="s">
        <v>117</v>
      </c>
      <c r="C662" s="42" t="s">
        <v>111</v>
      </c>
      <c r="D662" s="42">
        <v>5</v>
      </c>
      <c r="E662" s="42">
        <v>15</v>
      </c>
      <c r="F662" s="42">
        <v>75</v>
      </c>
    </row>
    <row r="663" spans="1:6" x14ac:dyDescent="0.3">
      <c r="A663" s="42">
        <v>1501</v>
      </c>
      <c r="B663" s="58" t="s">
        <v>205</v>
      </c>
      <c r="C663" s="42" t="s">
        <v>111</v>
      </c>
      <c r="D663" s="42">
        <v>1</v>
      </c>
      <c r="E663" s="42">
        <v>115</v>
      </c>
      <c r="F663" s="42">
        <v>115</v>
      </c>
    </row>
    <row r="664" spans="1:6" x14ac:dyDescent="0.3">
      <c r="A664" s="42">
        <v>1502</v>
      </c>
      <c r="B664" s="58" t="s">
        <v>206</v>
      </c>
      <c r="C664" s="42" t="s">
        <v>111</v>
      </c>
      <c r="D664" s="42">
        <v>1</v>
      </c>
      <c r="E664" s="42">
        <v>75</v>
      </c>
      <c r="F664" s="42">
        <v>75</v>
      </c>
    </row>
    <row r="665" spans="1:6" x14ac:dyDescent="0.3">
      <c r="A665" s="42">
        <v>1503</v>
      </c>
      <c r="B665" s="58" t="s">
        <v>207</v>
      </c>
      <c r="C665" s="42" t="s">
        <v>111</v>
      </c>
      <c r="D665" s="42">
        <v>1</v>
      </c>
      <c r="E665" s="42">
        <v>50</v>
      </c>
      <c r="F665" s="42">
        <v>50</v>
      </c>
    </row>
    <row r="666" spans="1:6" x14ac:dyDescent="0.3">
      <c r="A666" s="42">
        <v>1504</v>
      </c>
      <c r="B666" s="58" t="s">
        <v>208</v>
      </c>
      <c r="C666" s="42" t="s">
        <v>111</v>
      </c>
      <c r="D666" s="42">
        <v>1</v>
      </c>
      <c r="E666" s="42">
        <v>75</v>
      </c>
      <c r="F666" s="42">
        <v>75</v>
      </c>
    </row>
    <row r="667" spans="1:6" x14ac:dyDescent="0.3">
      <c r="A667" s="42">
        <v>1022</v>
      </c>
      <c r="B667" s="58" t="s">
        <v>65</v>
      </c>
      <c r="C667" s="42" t="s">
        <v>44</v>
      </c>
      <c r="D667" s="42">
        <v>1</v>
      </c>
      <c r="E667" s="42">
        <v>300</v>
      </c>
      <c r="F667" s="42">
        <v>300</v>
      </c>
    </row>
    <row r="668" spans="1:6" x14ac:dyDescent="0.3">
      <c r="A668" s="42">
        <v>1048</v>
      </c>
      <c r="B668" s="58" t="s">
        <v>90</v>
      </c>
      <c r="C668" s="42" t="s">
        <v>44</v>
      </c>
      <c r="D668" s="42">
        <v>2</v>
      </c>
      <c r="E668" s="42">
        <v>250</v>
      </c>
      <c r="F668" s="42">
        <v>500</v>
      </c>
    </row>
    <row r="669" spans="1:6" x14ac:dyDescent="0.3">
      <c r="A669" s="42"/>
      <c r="B669" s="58">
        <v>44739.72862962963</v>
      </c>
      <c r="C669" s="42" t="s">
        <v>3</v>
      </c>
      <c r="D669" s="42"/>
      <c r="E669" s="42"/>
      <c r="F669" s="42">
        <v>1182</v>
      </c>
    </row>
    <row r="670" spans="1:6" x14ac:dyDescent="0.3">
      <c r="A670" s="42" t="s">
        <v>5</v>
      </c>
      <c r="B670" s="58" t="s">
        <v>6</v>
      </c>
      <c r="C670" s="42" t="s">
        <v>7</v>
      </c>
      <c r="D670" s="42" t="s">
        <v>8</v>
      </c>
      <c r="E670" s="42" t="s">
        <v>9</v>
      </c>
      <c r="F670" s="42" t="s">
        <v>10</v>
      </c>
    </row>
    <row r="671" spans="1:6" x14ac:dyDescent="0.3">
      <c r="A671" s="42">
        <v>1063</v>
      </c>
      <c r="B671" s="58" t="s">
        <v>105</v>
      </c>
      <c r="C671" s="42" t="s">
        <v>44</v>
      </c>
      <c r="D671" s="42">
        <v>1</v>
      </c>
      <c r="E671" s="42">
        <v>400</v>
      </c>
      <c r="F671" s="42">
        <v>400</v>
      </c>
    </row>
    <row r="672" spans="1:6" x14ac:dyDescent="0.3">
      <c r="A672" s="42">
        <v>1113</v>
      </c>
      <c r="B672" s="58" t="s">
        <v>123</v>
      </c>
      <c r="C672" s="42" t="s">
        <v>111</v>
      </c>
      <c r="D672" s="42">
        <v>2</v>
      </c>
      <c r="E672" s="42">
        <v>1000</v>
      </c>
      <c r="F672" s="42">
        <v>2000</v>
      </c>
    </row>
    <row r="673" spans="1:6" x14ac:dyDescent="0.3">
      <c r="A673" s="42"/>
      <c r="B673" s="58">
        <v>44739.739994675925</v>
      </c>
      <c r="C673" s="42" t="s">
        <v>3</v>
      </c>
      <c r="D673" s="42"/>
      <c r="E673" s="42"/>
      <c r="F673" s="42">
        <v>1183</v>
      </c>
    </row>
    <row r="674" spans="1:6" x14ac:dyDescent="0.3">
      <c r="A674" s="42" t="s">
        <v>5</v>
      </c>
      <c r="B674" s="58" t="s">
        <v>6</v>
      </c>
      <c r="C674" s="42" t="s">
        <v>7</v>
      </c>
      <c r="D674" s="42" t="s">
        <v>8</v>
      </c>
      <c r="E674" s="42" t="s">
        <v>9</v>
      </c>
      <c r="F674" s="42" t="s">
        <v>10</v>
      </c>
    </row>
    <row r="675" spans="1:6" x14ac:dyDescent="0.3">
      <c r="A675" s="42">
        <v>1002</v>
      </c>
      <c r="B675" s="58" t="s">
        <v>45</v>
      </c>
      <c r="C675" s="42" t="s">
        <v>44</v>
      </c>
      <c r="D675" s="42">
        <v>2</v>
      </c>
      <c r="E675" s="42">
        <v>750</v>
      </c>
      <c r="F675" s="42">
        <v>1500</v>
      </c>
    </row>
    <row r="676" spans="1:6" x14ac:dyDescent="0.3">
      <c r="A676" s="42">
        <v>1026</v>
      </c>
      <c r="B676" s="58" t="s">
        <v>67</v>
      </c>
      <c r="C676" s="42" t="s">
        <v>44</v>
      </c>
      <c r="D676" s="42">
        <v>4</v>
      </c>
      <c r="E676" s="42">
        <v>60</v>
      </c>
      <c r="F676" s="42">
        <v>240</v>
      </c>
    </row>
    <row r="677" spans="1:6" x14ac:dyDescent="0.3">
      <c r="A677" s="42">
        <v>1027</v>
      </c>
      <c r="B677" s="58" t="s">
        <v>68</v>
      </c>
      <c r="C677" s="42" t="s">
        <v>44</v>
      </c>
      <c r="D677" s="42">
        <v>4</v>
      </c>
      <c r="E677" s="42">
        <v>20</v>
      </c>
      <c r="F677" s="42">
        <v>80</v>
      </c>
    </row>
    <row r="678" spans="1:6" x14ac:dyDescent="0.3">
      <c r="A678" s="42">
        <v>1030</v>
      </c>
      <c r="B678" s="58" t="s">
        <v>71</v>
      </c>
      <c r="C678" s="42" t="s">
        <v>44</v>
      </c>
      <c r="D678" s="42">
        <v>25</v>
      </c>
      <c r="E678" s="42">
        <v>100</v>
      </c>
      <c r="F678" s="42">
        <v>2500</v>
      </c>
    </row>
    <row r="679" spans="1:6" x14ac:dyDescent="0.3">
      <c r="A679" s="42">
        <v>1035</v>
      </c>
      <c r="B679" s="58" t="s">
        <v>76</v>
      </c>
      <c r="C679" s="42" t="s">
        <v>44</v>
      </c>
      <c r="D679" s="42">
        <v>1</v>
      </c>
      <c r="E679" s="42">
        <v>110</v>
      </c>
      <c r="F679" s="42">
        <v>110</v>
      </c>
    </row>
    <row r="680" spans="1:6" x14ac:dyDescent="0.3">
      <c r="A680" s="42">
        <v>1036</v>
      </c>
      <c r="B680" s="58" t="s">
        <v>77</v>
      </c>
      <c r="C680" s="42" t="s">
        <v>44</v>
      </c>
      <c r="D680" s="42">
        <v>6</v>
      </c>
      <c r="E680" s="42">
        <v>10</v>
      </c>
      <c r="F680" s="42">
        <v>60</v>
      </c>
    </row>
    <row r="681" spans="1:6" x14ac:dyDescent="0.3">
      <c r="A681" s="42">
        <v>1037</v>
      </c>
      <c r="B681" s="58" t="s">
        <v>78</v>
      </c>
      <c r="C681" s="42" t="s">
        <v>79</v>
      </c>
      <c r="D681" s="42">
        <v>6</v>
      </c>
      <c r="E681" s="42">
        <v>50</v>
      </c>
      <c r="F681" s="42">
        <v>300</v>
      </c>
    </row>
    <row r="682" spans="1:6" x14ac:dyDescent="0.3">
      <c r="A682" s="42">
        <v>1049</v>
      </c>
      <c r="B682" s="58" t="s">
        <v>91</v>
      </c>
      <c r="C682" s="42" t="s">
        <v>44</v>
      </c>
      <c r="D682" s="42">
        <v>1</v>
      </c>
      <c r="E682" s="42">
        <v>350</v>
      </c>
      <c r="F682" s="42">
        <v>350</v>
      </c>
    </row>
    <row r="683" spans="1:6" x14ac:dyDescent="0.3">
      <c r="A683" s="42"/>
      <c r="B683" s="58">
        <v>44739.745751851849</v>
      </c>
      <c r="C683" s="42" t="s">
        <v>3</v>
      </c>
      <c r="D683" s="42"/>
      <c r="E683" s="42"/>
      <c r="F683" s="42">
        <v>1184</v>
      </c>
    </row>
    <row r="684" spans="1:6" x14ac:dyDescent="0.3">
      <c r="A684" s="42" t="s">
        <v>5</v>
      </c>
      <c r="B684" s="58" t="s">
        <v>6</v>
      </c>
      <c r="C684" s="42" t="s">
        <v>7</v>
      </c>
      <c r="D684" s="42" t="s">
        <v>8</v>
      </c>
      <c r="E684" s="42" t="s">
        <v>9</v>
      </c>
      <c r="F684" s="42" t="s">
        <v>10</v>
      </c>
    </row>
    <row r="685" spans="1:6" x14ac:dyDescent="0.3">
      <c r="A685" s="42">
        <v>1026</v>
      </c>
      <c r="B685" s="58" t="s">
        <v>67</v>
      </c>
      <c r="C685" s="42" t="s">
        <v>44</v>
      </c>
      <c r="D685" s="42">
        <v>6</v>
      </c>
      <c r="E685" s="42">
        <v>60</v>
      </c>
      <c r="F685" s="42">
        <v>360</v>
      </c>
    </row>
    <row r="686" spans="1:6" x14ac:dyDescent="0.3">
      <c r="A686" s="42">
        <v>1030</v>
      </c>
      <c r="B686" s="58" t="s">
        <v>71</v>
      </c>
      <c r="C686" s="42" t="s">
        <v>44</v>
      </c>
      <c r="D686" s="42">
        <v>16</v>
      </c>
      <c r="E686" s="42">
        <v>100</v>
      </c>
      <c r="F686" s="42">
        <v>1600</v>
      </c>
    </row>
    <row r="687" spans="1:6" x14ac:dyDescent="0.3">
      <c r="A687" s="42">
        <v>1059</v>
      </c>
      <c r="B687" s="58" t="s">
        <v>101</v>
      </c>
      <c r="C687" s="42" t="s">
        <v>44</v>
      </c>
      <c r="D687" s="42">
        <v>1</v>
      </c>
      <c r="E687" s="42">
        <v>100</v>
      </c>
      <c r="F687" s="42">
        <v>100</v>
      </c>
    </row>
    <row r="688" spans="1:6" x14ac:dyDescent="0.3">
      <c r="A688" s="42">
        <v>1103</v>
      </c>
      <c r="B688" s="58" t="s">
        <v>113</v>
      </c>
      <c r="C688" s="42" t="s">
        <v>111</v>
      </c>
      <c r="D688" s="42">
        <v>5</v>
      </c>
      <c r="E688" s="42">
        <v>30</v>
      </c>
      <c r="F688" s="42">
        <v>150</v>
      </c>
    </row>
    <row r="689" spans="1:6" x14ac:dyDescent="0.3">
      <c r="A689" s="42">
        <v>1106</v>
      </c>
      <c r="B689" s="58" t="s">
        <v>116</v>
      </c>
      <c r="C689" s="42" t="s">
        <v>111</v>
      </c>
      <c r="D689" s="42">
        <v>3</v>
      </c>
      <c r="E689" s="42">
        <v>45</v>
      </c>
      <c r="F689" s="42">
        <v>135</v>
      </c>
    </row>
    <row r="690" spans="1:6" x14ac:dyDescent="0.3">
      <c r="A690" s="42">
        <v>1108</v>
      </c>
      <c r="B690" s="58" t="s">
        <v>118</v>
      </c>
      <c r="C690" s="42" t="s">
        <v>111</v>
      </c>
      <c r="D690" s="42">
        <v>6</v>
      </c>
      <c r="E690" s="42">
        <v>5</v>
      </c>
      <c r="F690" s="42">
        <v>30</v>
      </c>
    </row>
    <row r="691" spans="1:6" x14ac:dyDescent="0.3">
      <c r="A691" s="42">
        <v>1113</v>
      </c>
      <c r="B691" s="58" t="s">
        <v>123</v>
      </c>
      <c r="C691" s="42" t="s">
        <v>111</v>
      </c>
      <c r="D691" s="42">
        <v>2</v>
      </c>
      <c r="E691" s="42">
        <v>1000</v>
      </c>
      <c r="F691" s="42">
        <v>2000</v>
      </c>
    </row>
    <row r="692" spans="1:6" x14ac:dyDescent="0.3">
      <c r="A692" s="42">
        <v>1201</v>
      </c>
      <c r="B692" s="58" t="s">
        <v>147</v>
      </c>
      <c r="C692" s="42" t="s">
        <v>111</v>
      </c>
      <c r="D692" s="42">
        <v>1</v>
      </c>
      <c r="E692" s="42">
        <v>3000</v>
      </c>
      <c r="F692" s="42">
        <v>3000</v>
      </c>
    </row>
    <row r="693" spans="1:6" x14ac:dyDescent="0.3">
      <c r="A693" s="42"/>
      <c r="B693" s="58">
        <v>44739.748015393518</v>
      </c>
      <c r="C693" s="42" t="s">
        <v>3</v>
      </c>
      <c r="D693" s="42"/>
      <c r="E693" s="42"/>
      <c r="F693" s="42">
        <v>1185</v>
      </c>
    </row>
    <row r="694" spans="1:6" x14ac:dyDescent="0.3">
      <c r="A694" s="42" t="s">
        <v>5</v>
      </c>
      <c r="B694" s="58" t="s">
        <v>6</v>
      </c>
      <c r="C694" s="42" t="s">
        <v>7</v>
      </c>
      <c r="D694" s="42" t="s">
        <v>8</v>
      </c>
      <c r="E694" s="42" t="s">
        <v>9</v>
      </c>
      <c r="F694" s="42" t="s">
        <v>10</v>
      </c>
    </row>
    <row r="695" spans="1:6" x14ac:dyDescent="0.3">
      <c r="A695" s="42">
        <v>1021</v>
      </c>
      <c r="B695" s="58" t="s">
        <v>64</v>
      </c>
      <c r="C695" s="42" t="s">
        <v>44</v>
      </c>
      <c r="D695" s="42">
        <v>10</v>
      </c>
      <c r="E695" s="42">
        <v>170</v>
      </c>
      <c r="F695" s="42">
        <v>1700</v>
      </c>
    </row>
    <row r="696" spans="1:6" x14ac:dyDescent="0.3">
      <c r="A696" s="42">
        <v>1030</v>
      </c>
      <c r="B696" s="58" t="s">
        <v>71</v>
      </c>
      <c r="C696" s="42" t="s">
        <v>44</v>
      </c>
      <c r="D696" s="42">
        <v>2</v>
      </c>
      <c r="E696" s="42">
        <v>100</v>
      </c>
      <c r="F696" s="42">
        <v>200</v>
      </c>
    </row>
    <row r="697" spans="1:6" x14ac:dyDescent="0.3">
      <c r="A697" s="42">
        <v>1049</v>
      </c>
      <c r="B697" s="58" t="s">
        <v>91</v>
      </c>
      <c r="C697" s="42" t="s">
        <v>44</v>
      </c>
      <c r="D697" s="42">
        <v>1</v>
      </c>
      <c r="E697" s="42">
        <v>350</v>
      </c>
      <c r="F697" s="42">
        <v>350</v>
      </c>
    </row>
    <row r="698" spans="1:6" x14ac:dyDescent="0.3">
      <c r="A698" s="42">
        <v>1050</v>
      </c>
      <c r="B698" s="58" t="s">
        <v>92</v>
      </c>
      <c r="C698" s="42" t="s">
        <v>44</v>
      </c>
      <c r="D698" s="42">
        <v>1</v>
      </c>
      <c r="E698" s="42">
        <v>60</v>
      </c>
      <c r="F698" s="42">
        <v>60</v>
      </c>
    </row>
    <row r="699" spans="1:6" x14ac:dyDescent="0.3">
      <c r="A699" s="42">
        <v>1106</v>
      </c>
      <c r="B699" s="58" t="s">
        <v>116</v>
      </c>
      <c r="C699" s="42" t="s">
        <v>111</v>
      </c>
      <c r="D699" s="42">
        <v>4</v>
      </c>
      <c r="E699" s="42">
        <v>45</v>
      </c>
      <c r="F699" s="42">
        <v>180</v>
      </c>
    </row>
    <row r="700" spans="1:6" x14ac:dyDescent="0.3">
      <c r="A700" s="42">
        <v>1108</v>
      </c>
      <c r="B700" s="58" t="s">
        <v>118</v>
      </c>
      <c r="C700" s="42" t="s">
        <v>111</v>
      </c>
      <c r="D700" s="42">
        <v>4</v>
      </c>
      <c r="E700" s="42">
        <v>5</v>
      </c>
      <c r="F700" s="42">
        <v>20</v>
      </c>
    </row>
    <row r="701" spans="1:6" x14ac:dyDescent="0.3">
      <c r="A701" s="42">
        <v>1113</v>
      </c>
      <c r="B701" s="58" t="s">
        <v>123</v>
      </c>
      <c r="C701" s="42" t="s">
        <v>111</v>
      </c>
      <c r="D701" s="42">
        <v>3</v>
      </c>
      <c r="E701" s="42">
        <v>1000</v>
      </c>
      <c r="F701" s="42">
        <v>3000</v>
      </c>
    </row>
    <row r="702" spans="1:6" x14ac:dyDescent="0.3">
      <c r="A702" s="42">
        <v>1201</v>
      </c>
      <c r="B702" s="58" t="s">
        <v>147</v>
      </c>
      <c r="C702" s="42" t="s">
        <v>111</v>
      </c>
      <c r="D702" s="42">
        <v>1</v>
      </c>
      <c r="E702" s="42">
        <v>3000</v>
      </c>
      <c r="F702" s="42">
        <v>3000</v>
      </c>
    </row>
    <row r="703" spans="1:6" x14ac:dyDescent="0.3">
      <c r="A703" s="42">
        <v>1051</v>
      </c>
      <c r="B703" s="58" t="s">
        <v>93</v>
      </c>
      <c r="C703" s="42" t="s">
        <v>44</v>
      </c>
      <c r="D703" s="42">
        <v>2</v>
      </c>
      <c r="E703" s="42">
        <v>10</v>
      </c>
      <c r="F703" s="42">
        <v>20</v>
      </c>
    </row>
    <row r="704" spans="1:6" x14ac:dyDescent="0.3">
      <c r="A704" s="42"/>
      <c r="B704" s="58">
        <v>44739.750091666669</v>
      </c>
      <c r="C704" s="42" t="s">
        <v>3</v>
      </c>
      <c r="D704" s="42"/>
      <c r="E704" s="42"/>
      <c r="F704" s="42">
        <v>1186</v>
      </c>
    </row>
    <row r="705" spans="1:6" x14ac:dyDescent="0.3">
      <c r="A705" s="42" t="s">
        <v>5</v>
      </c>
      <c r="B705" s="58" t="s">
        <v>6</v>
      </c>
      <c r="C705" s="42" t="s">
        <v>7</v>
      </c>
      <c r="D705" s="42" t="s">
        <v>8</v>
      </c>
      <c r="E705" s="42" t="s">
        <v>9</v>
      </c>
      <c r="F705" s="42" t="s">
        <v>10</v>
      </c>
    </row>
    <row r="706" spans="1:6" x14ac:dyDescent="0.3">
      <c r="A706" s="42">
        <v>1201</v>
      </c>
      <c r="B706" s="58" t="s">
        <v>147</v>
      </c>
      <c r="C706" s="42" t="s">
        <v>111</v>
      </c>
      <c r="D706" s="42">
        <v>1</v>
      </c>
      <c r="E706" s="42">
        <v>3000</v>
      </c>
      <c r="F706" s="42">
        <v>3000</v>
      </c>
    </row>
    <row r="707" spans="1:6" x14ac:dyDescent="0.3">
      <c r="A707" s="42">
        <v>1030</v>
      </c>
      <c r="B707" s="58" t="s">
        <v>71</v>
      </c>
      <c r="C707" s="42" t="s">
        <v>44</v>
      </c>
      <c r="D707" s="42">
        <v>18</v>
      </c>
      <c r="E707" s="42">
        <v>100</v>
      </c>
      <c r="F707" s="42">
        <v>1800</v>
      </c>
    </row>
    <row r="708" spans="1:6" x14ac:dyDescent="0.3">
      <c r="A708" s="42"/>
      <c r="B708" s="58">
        <v>44739.751869328706</v>
      </c>
      <c r="C708" s="42" t="s">
        <v>3</v>
      </c>
      <c r="D708" s="42"/>
      <c r="E708" s="42"/>
      <c r="F708" s="42">
        <v>1187</v>
      </c>
    </row>
    <row r="709" spans="1:6" x14ac:dyDescent="0.3">
      <c r="A709" s="42" t="s">
        <v>5</v>
      </c>
      <c r="B709" s="58" t="s">
        <v>6</v>
      </c>
      <c r="C709" s="42" t="s">
        <v>7</v>
      </c>
      <c r="D709" s="42" t="s">
        <v>8</v>
      </c>
      <c r="E709" s="42" t="s">
        <v>9</v>
      </c>
      <c r="F709" s="42" t="s">
        <v>10</v>
      </c>
    </row>
    <row r="710" spans="1:6" x14ac:dyDescent="0.3">
      <c r="A710" s="42">
        <v>1106</v>
      </c>
      <c r="B710" s="58" t="s">
        <v>116</v>
      </c>
      <c r="C710" s="42" t="s">
        <v>111</v>
      </c>
      <c r="D710" s="42">
        <v>2</v>
      </c>
      <c r="E710" s="42">
        <v>45</v>
      </c>
      <c r="F710" s="42">
        <v>90</v>
      </c>
    </row>
    <row r="711" spans="1:6" x14ac:dyDescent="0.3">
      <c r="A711" s="42">
        <v>1108</v>
      </c>
      <c r="B711" s="58" t="s">
        <v>118</v>
      </c>
      <c r="C711" s="42" t="s">
        <v>111</v>
      </c>
      <c r="D711" s="42">
        <v>2</v>
      </c>
      <c r="E711" s="42">
        <v>5</v>
      </c>
      <c r="F711" s="42">
        <v>10</v>
      </c>
    </row>
    <row r="712" spans="1:6" x14ac:dyDescent="0.3">
      <c r="A712" s="42">
        <v>1113</v>
      </c>
      <c r="B712" s="58" t="s">
        <v>123</v>
      </c>
      <c r="C712" s="42" t="s">
        <v>111</v>
      </c>
      <c r="D712" s="42">
        <v>1</v>
      </c>
      <c r="E712" s="42">
        <v>1000</v>
      </c>
      <c r="F712" s="42">
        <v>1000</v>
      </c>
    </row>
    <row r="713" spans="1:6" x14ac:dyDescent="0.3">
      <c r="A713" s="42">
        <v>1114</v>
      </c>
      <c r="B713" s="58" t="s">
        <v>124</v>
      </c>
      <c r="C713" s="42" t="s">
        <v>111</v>
      </c>
      <c r="D713" s="42">
        <v>2</v>
      </c>
      <c r="E713" s="42">
        <v>450</v>
      </c>
      <c r="F713" s="42">
        <v>900</v>
      </c>
    </row>
    <row r="714" spans="1:6" x14ac:dyDescent="0.3">
      <c r="A714" s="42">
        <v>1134</v>
      </c>
      <c r="B714" s="58" t="s">
        <v>145</v>
      </c>
      <c r="C714" s="42" t="s">
        <v>111</v>
      </c>
      <c r="D714" s="42">
        <v>1</v>
      </c>
      <c r="E714" s="42">
        <v>150</v>
      </c>
      <c r="F714" s="42">
        <v>150</v>
      </c>
    </row>
    <row r="715" spans="1:6" x14ac:dyDescent="0.3">
      <c r="A715" s="42">
        <v>1201</v>
      </c>
      <c r="B715" s="58" t="s">
        <v>147</v>
      </c>
      <c r="C715" s="42" t="s">
        <v>111</v>
      </c>
      <c r="D715" s="42">
        <v>1</v>
      </c>
      <c r="E715" s="42">
        <v>3000</v>
      </c>
      <c r="F715" s="42">
        <v>3000</v>
      </c>
    </row>
    <row r="716" spans="1:6" x14ac:dyDescent="0.3">
      <c r="A716" s="42">
        <v>1116</v>
      </c>
      <c r="B716" s="58" t="s">
        <v>126</v>
      </c>
      <c r="C716" s="42" t="s">
        <v>111</v>
      </c>
      <c r="D716" s="42">
        <v>1</v>
      </c>
      <c r="E716" s="42">
        <v>3500</v>
      </c>
      <c r="F716" s="42">
        <v>3500</v>
      </c>
    </row>
    <row r="717" spans="1:6" x14ac:dyDescent="0.3">
      <c r="A717" s="60">
        <v>1029</v>
      </c>
      <c r="B717" s="61" t="s">
        <v>70</v>
      </c>
      <c r="C717" s="60" t="s">
        <v>44</v>
      </c>
      <c r="D717" s="60">
        <v>1</v>
      </c>
      <c r="E717" s="60">
        <v>40</v>
      </c>
      <c r="F717" s="60">
        <v>40</v>
      </c>
    </row>
    <row r="718" spans="1:6" x14ac:dyDescent="0.3">
      <c r="A718" s="42"/>
      <c r="B718" s="58">
        <v>44739.75381678241</v>
      </c>
      <c r="C718" s="42" t="s">
        <v>3</v>
      </c>
      <c r="D718" s="42"/>
      <c r="E718" s="42"/>
      <c r="F718" s="42">
        <v>1188</v>
      </c>
    </row>
    <row r="719" spans="1:6" x14ac:dyDescent="0.3">
      <c r="A719" s="42" t="s">
        <v>5</v>
      </c>
      <c r="B719" s="58" t="s">
        <v>6</v>
      </c>
      <c r="C719" s="42" t="s">
        <v>7</v>
      </c>
      <c r="D719" s="42" t="s">
        <v>8</v>
      </c>
      <c r="E719" s="42" t="s">
        <v>9</v>
      </c>
      <c r="F719" s="42" t="s">
        <v>10</v>
      </c>
    </row>
    <row r="720" spans="1:6" x14ac:dyDescent="0.3">
      <c r="A720" s="42">
        <v>1113</v>
      </c>
      <c r="B720" s="58" t="s">
        <v>123</v>
      </c>
      <c r="C720" s="42" t="s">
        <v>111</v>
      </c>
      <c r="D720" s="42">
        <v>1</v>
      </c>
      <c r="E720" s="42">
        <v>1000</v>
      </c>
      <c r="F720" s="42">
        <v>1000</v>
      </c>
    </row>
    <row r="721" spans="1:6" x14ac:dyDescent="0.3">
      <c r="A721" s="42">
        <v>1201</v>
      </c>
      <c r="B721" s="58" t="s">
        <v>147</v>
      </c>
      <c r="C721" s="42" t="s">
        <v>111</v>
      </c>
      <c r="D721" s="42">
        <v>1</v>
      </c>
      <c r="E721" s="42">
        <v>3000</v>
      </c>
      <c r="F721" s="42">
        <v>3000</v>
      </c>
    </row>
    <row r="722" spans="1:6" x14ac:dyDescent="0.3">
      <c r="A722" s="42">
        <v>1106</v>
      </c>
      <c r="B722" s="58" t="s">
        <v>116</v>
      </c>
      <c r="C722" s="42" t="s">
        <v>111</v>
      </c>
      <c r="D722" s="42">
        <v>2</v>
      </c>
      <c r="E722" s="42">
        <v>45</v>
      </c>
      <c r="F722" s="42">
        <v>90</v>
      </c>
    </row>
    <row r="723" spans="1:6" x14ac:dyDescent="0.3">
      <c r="A723" s="42">
        <v>1108</v>
      </c>
      <c r="B723" s="58" t="s">
        <v>118</v>
      </c>
      <c r="C723" s="42" t="s">
        <v>111</v>
      </c>
      <c r="D723" s="42">
        <v>2</v>
      </c>
      <c r="E723" s="42">
        <v>5</v>
      </c>
      <c r="F723" s="42">
        <v>10</v>
      </c>
    </row>
    <row r="724" spans="1:6" x14ac:dyDescent="0.3">
      <c r="A724" s="42">
        <v>1004</v>
      </c>
      <c r="B724" s="58" t="s">
        <v>47</v>
      </c>
      <c r="C724" s="42" t="s">
        <v>44</v>
      </c>
      <c r="D724" s="42">
        <v>1</v>
      </c>
      <c r="E724" s="42">
        <v>6000</v>
      </c>
      <c r="F724" s="42">
        <v>6000</v>
      </c>
    </row>
    <row r="725" spans="1:6" x14ac:dyDescent="0.3">
      <c r="A725" s="42"/>
      <c r="B725" s="58">
        <v>44739.755891203706</v>
      </c>
      <c r="C725" s="42" t="s">
        <v>3</v>
      </c>
      <c r="D725" s="42"/>
      <c r="E725" s="42"/>
      <c r="F725" s="42">
        <v>1189</v>
      </c>
    </row>
    <row r="726" spans="1:6" x14ac:dyDescent="0.3">
      <c r="A726" s="42" t="s">
        <v>5</v>
      </c>
      <c r="B726" s="58" t="s">
        <v>6</v>
      </c>
      <c r="C726" s="42" t="s">
        <v>7</v>
      </c>
      <c r="D726" s="42" t="s">
        <v>8</v>
      </c>
      <c r="E726" s="42" t="s">
        <v>9</v>
      </c>
      <c r="F726" s="42" t="s">
        <v>10</v>
      </c>
    </row>
    <row r="727" spans="1:6" x14ac:dyDescent="0.3">
      <c r="A727" s="42">
        <v>1026</v>
      </c>
      <c r="B727" s="58" t="s">
        <v>67</v>
      </c>
      <c r="C727" s="42" t="s">
        <v>44</v>
      </c>
      <c r="D727" s="42">
        <v>3</v>
      </c>
      <c r="E727" s="42">
        <v>60</v>
      </c>
      <c r="F727" s="42">
        <v>180</v>
      </c>
    </row>
    <row r="728" spans="1:6" x14ac:dyDescent="0.3">
      <c r="A728" s="42">
        <v>1027</v>
      </c>
      <c r="B728" s="58" t="s">
        <v>68</v>
      </c>
      <c r="C728" s="42" t="s">
        <v>44</v>
      </c>
      <c r="D728" s="42">
        <v>1</v>
      </c>
      <c r="E728" s="42">
        <v>20</v>
      </c>
      <c r="F728" s="42">
        <v>20</v>
      </c>
    </row>
    <row r="729" spans="1:6" x14ac:dyDescent="0.3">
      <c r="A729" s="42">
        <v>1029</v>
      </c>
      <c r="B729" s="58" t="s">
        <v>70</v>
      </c>
      <c r="C729" s="42" t="s">
        <v>44</v>
      </c>
      <c r="D729" s="42">
        <v>1</v>
      </c>
      <c r="E729" s="42">
        <v>40</v>
      </c>
      <c r="F729" s="42">
        <v>40</v>
      </c>
    </row>
    <row r="730" spans="1:6" x14ac:dyDescent="0.3">
      <c r="A730" s="42">
        <v>1030</v>
      </c>
      <c r="B730" s="58" t="s">
        <v>71</v>
      </c>
      <c r="C730" s="42" t="s">
        <v>44</v>
      </c>
      <c r="D730" s="42">
        <v>10</v>
      </c>
      <c r="E730" s="42">
        <v>100</v>
      </c>
      <c r="F730" s="42">
        <v>1000</v>
      </c>
    </row>
    <row r="731" spans="1:6" x14ac:dyDescent="0.3">
      <c r="A731" s="42">
        <v>1106</v>
      </c>
      <c r="B731" s="58" t="s">
        <v>116</v>
      </c>
      <c r="C731" s="42" t="s">
        <v>111</v>
      </c>
      <c r="D731" s="42">
        <v>15</v>
      </c>
      <c r="E731" s="42">
        <v>45</v>
      </c>
      <c r="F731" s="42">
        <v>675</v>
      </c>
    </row>
    <row r="732" spans="1:6" x14ac:dyDescent="0.3">
      <c r="A732" s="42">
        <v>1108</v>
      </c>
      <c r="B732" s="58" t="s">
        <v>118</v>
      </c>
      <c r="C732" s="42" t="s">
        <v>111</v>
      </c>
      <c r="D732" s="42">
        <v>10</v>
      </c>
      <c r="E732" s="42">
        <v>5</v>
      </c>
      <c r="F732" s="42">
        <v>50</v>
      </c>
    </row>
    <row r="733" spans="1:6" x14ac:dyDescent="0.3">
      <c r="A733" s="42">
        <v>1134</v>
      </c>
      <c r="B733" s="58" t="s">
        <v>145</v>
      </c>
      <c r="C733" s="42" t="s">
        <v>111</v>
      </c>
      <c r="D733" s="42">
        <v>1</v>
      </c>
      <c r="E733" s="42">
        <v>150</v>
      </c>
      <c r="F733" s="42">
        <v>150</v>
      </c>
    </row>
    <row r="734" spans="1:6" x14ac:dyDescent="0.3">
      <c r="A734" s="42">
        <v>1201</v>
      </c>
      <c r="B734" s="58" t="s">
        <v>147</v>
      </c>
      <c r="C734" s="42" t="s">
        <v>111</v>
      </c>
      <c r="D734" s="42">
        <v>1</v>
      </c>
      <c r="E734" s="42">
        <v>3000</v>
      </c>
      <c r="F734" s="42">
        <v>3000</v>
      </c>
    </row>
    <row r="735" spans="1:6" x14ac:dyDescent="0.3">
      <c r="A735" s="42">
        <v>1308</v>
      </c>
      <c r="B735" s="58" t="s">
        <v>159</v>
      </c>
      <c r="C735" s="42" t="s">
        <v>111</v>
      </c>
      <c r="D735" s="42">
        <v>1</v>
      </c>
      <c r="E735" s="42">
        <v>375</v>
      </c>
      <c r="F735" s="42">
        <v>375</v>
      </c>
    </row>
    <row r="736" spans="1:6" x14ac:dyDescent="0.3">
      <c r="A736" s="42">
        <v>1414</v>
      </c>
      <c r="B736" s="58" t="s">
        <v>187</v>
      </c>
      <c r="C736" s="42" t="s">
        <v>111</v>
      </c>
      <c r="D736" s="42">
        <v>1</v>
      </c>
      <c r="E736" s="42">
        <v>170</v>
      </c>
      <c r="F736" s="42">
        <v>170</v>
      </c>
    </row>
    <row r="737" spans="1:6" x14ac:dyDescent="0.3">
      <c r="A737" s="42">
        <v>1422</v>
      </c>
      <c r="B737" s="58" t="s">
        <v>195</v>
      </c>
      <c r="C737" s="42" t="s">
        <v>111</v>
      </c>
      <c r="D737" s="42">
        <v>1</v>
      </c>
      <c r="E737" s="42">
        <v>150</v>
      </c>
      <c r="F737" s="42">
        <v>150</v>
      </c>
    </row>
    <row r="738" spans="1:6" x14ac:dyDescent="0.3">
      <c r="A738" s="42">
        <v>1031</v>
      </c>
      <c r="B738" s="58" t="s">
        <v>72</v>
      </c>
      <c r="C738" s="42" t="s">
        <v>44</v>
      </c>
      <c r="D738" s="42">
        <v>6</v>
      </c>
      <c r="E738" s="42">
        <v>80</v>
      </c>
      <c r="F738" s="42">
        <v>480</v>
      </c>
    </row>
    <row r="739" spans="1:6" x14ac:dyDescent="0.3">
      <c r="A739" s="42"/>
      <c r="B739" s="58">
        <v>44739.778313425923</v>
      </c>
      <c r="C739" s="42" t="s">
        <v>3</v>
      </c>
      <c r="D739" s="42"/>
      <c r="E739" s="42"/>
      <c r="F739" s="42">
        <v>1193</v>
      </c>
    </row>
    <row r="740" spans="1:6" x14ac:dyDescent="0.3">
      <c r="A740" s="42" t="s">
        <v>5</v>
      </c>
      <c r="B740" s="58" t="s">
        <v>6</v>
      </c>
      <c r="C740" s="42" t="s">
        <v>7</v>
      </c>
      <c r="D740" s="42" t="s">
        <v>8</v>
      </c>
      <c r="E740" s="42" t="s">
        <v>9</v>
      </c>
      <c r="F740" s="42" t="s">
        <v>10</v>
      </c>
    </row>
    <row r="741" spans="1:6" x14ac:dyDescent="0.3">
      <c r="A741" s="42">
        <v>1030</v>
      </c>
      <c r="B741" s="58" t="s">
        <v>71</v>
      </c>
      <c r="C741" s="42" t="s">
        <v>44</v>
      </c>
      <c r="D741" s="42">
        <v>25</v>
      </c>
      <c r="E741" s="42">
        <v>100</v>
      </c>
      <c r="F741" s="42">
        <v>2500</v>
      </c>
    </row>
    <row r="742" spans="1:6" x14ac:dyDescent="0.3">
      <c r="A742" s="42">
        <v>1058</v>
      </c>
      <c r="B742" s="58" t="s">
        <v>100</v>
      </c>
      <c r="C742" s="42" t="s">
        <v>44</v>
      </c>
      <c r="D742" s="42">
        <v>2</v>
      </c>
      <c r="E742" s="42">
        <v>20</v>
      </c>
      <c r="F742" s="42">
        <v>40</v>
      </c>
    </row>
    <row r="743" spans="1:6" x14ac:dyDescent="0.3">
      <c r="A743" s="42"/>
      <c r="B743" s="58">
        <v>44739.784823148148</v>
      </c>
      <c r="C743" s="42" t="s">
        <v>3</v>
      </c>
      <c r="D743" s="42"/>
      <c r="E743" s="42"/>
      <c r="F743" s="42">
        <v>1194</v>
      </c>
    </row>
    <row r="744" spans="1:6" x14ac:dyDescent="0.3">
      <c r="A744" s="42" t="s">
        <v>5</v>
      </c>
      <c r="B744" s="58" t="s">
        <v>6</v>
      </c>
      <c r="C744" s="42" t="s">
        <v>7</v>
      </c>
      <c r="D744" s="42" t="s">
        <v>8</v>
      </c>
      <c r="E744" s="42" t="s">
        <v>9</v>
      </c>
      <c r="F744" s="42" t="s">
        <v>10</v>
      </c>
    </row>
    <row r="745" spans="1:6" x14ac:dyDescent="0.3">
      <c r="A745" s="42">
        <v>1022</v>
      </c>
      <c r="B745" s="58" t="s">
        <v>65</v>
      </c>
      <c r="C745" s="42" t="s">
        <v>44</v>
      </c>
      <c r="D745" s="42">
        <v>1</v>
      </c>
      <c r="E745" s="42">
        <v>300</v>
      </c>
      <c r="F745" s="42">
        <v>300</v>
      </c>
    </row>
    <row r="746" spans="1:6" x14ac:dyDescent="0.3">
      <c r="A746" s="42">
        <v>1025</v>
      </c>
      <c r="B746" s="58" t="s">
        <v>14</v>
      </c>
      <c r="C746" s="42" t="s">
        <v>44</v>
      </c>
      <c r="D746" s="42">
        <v>1</v>
      </c>
      <c r="E746" s="42">
        <v>200</v>
      </c>
      <c r="F746" s="42">
        <v>200</v>
      </c>
    </row>
    <row r="747" spans="1:6" x14ac:dyDescent="0.3">
      <c r="A747" s="42">
        <v>1026</v>
      </c>
      <c r="B747" s="58" t="s">
        <v>67</v>
      </c>
      <c r="C747" s="42" t="s">
        <v>44</v>
      </c>
      <c r="D747" s="42">
        <v>5</v>
      </c>
      <c r="E747" s="42">
        <v>60</v>
      </c>
      <c r="F747" s="42">
        <v>300</v>
      </c>
    </row>
    <row r="748" spans="1:6" x14ac:dyDescent="0.3">
      <c r="A748" s="42">
        <v>1030</v>
      </c>
      <c r="B748" s="58" t="s">
        <v>71</v>
      </c>
      <c r="C748" s="42" t="s">
        <v>44</v>
      </c>
      <c r="D748" s="42">
        <v>24</v>
      </c>
      <c r="E748" s="42">
        <v>100</v>
      </c>
      <c r="F748" s="42">
        <v>2400</v>
      </c>
    </row>
    <row r="749" spans="1:6" x14ac:dyDescent="0.3">
      <c r="A749" s="42">
        <v>1053</v>
      </c>
      <c r="B749" s="58" t="s">
        <v>95</v>
      </c>
      <c r="C749" s="42" t="s">
        <v>44</v>
      </c>
      <c r="D749" s="42">
        <v>5</v>
      </c>
      <c r="E749" s="42">
        <v>150</v>
      </c>
      <c r="F749" s="42">
        <v>750</v>
      </c>
    </row>
    <row r="750" spans="1:6" x14ac:dyDescent="0.3">
      <c r="A750" s="42">
        <v>1054</v>
      </c>
      <c r="B750" s="58" t="s">
        <v>96</v>
      </c>
      <c r="C750" s="42" t="s">
        <v>44</v>
      </c>
      <c r="D750" s="42">
        <v>1</v>
      </c>
      <c r="E750" s="42">
        <v>20</v>
      </c>
      <c r="F750" s="42">
        <v>20</v>
      </c>
    </row>
    <row r="751" spans="1:6" x14ac:dyDescent="0.3">
      <c r="A751" s="42">
        <v>1060</v>
      </c>
      <c r="B751" s="58" t="s">
        <v>102</v>
      </c>
      <c r="C751" s="42" t="s">
        <v>44</v>
      </c>
      <c r="D751" s="42">
        <v>2</v>
      </c>
      <c r="E751" s="42">
        <v>20</v>
      </c>
      <c r="F751" s="42">
        <v>40</v>
      </c>
    </row>
    <row r="752" spans="1:6" x14ac:dyDescent="0.3">
      <c r="A752" s="42">
        <v>1103</v>
      </c>
      <c r="B752" s="58" t="s">
        <v>113</v>
      </c>
      <c r="C752" s="42" t="s">
        <v>111</v>
      </c>
      <c r="D752" s="42">
        <v>5</v>
      </c>
      <c r="E752" s="42">
        <v>30</v>
      </c>
      <c r="F752" s="42">
        <v>150</v>
      </c>
    </row>
    <row r="753" spans="1:6" x14ac:dyDescent="0.3">
      <c r="A753" s="42">
        <v>1106</v>
      </c>
      <c r="B753" s="58" t="s">
        <v>116</v>
      </c>
      <c r="C753" s="42" t="s">
        <v>111</v>
      </c>
      <c r="D753" s="42">
        <v>5</v>
      </c>
      <c r="E753" s="42">
        <v>45</v>
      </c>
      <c r="F753" s="42">
        <v>225</v>
      </c>
    </row>
    <row r="754" spans="1:6" x14ac:dyDescent="0.3">
      <c r="A754" s="42">
        <v>1113</v>
      </c>
      <c r="B754" s="58" t="s">
        <v>123</v>
      </c>
      <c r="C754" s="42" t="s">
        <v>111</v>
      </c>
      <c r="D754" s="42">
        <v>1</v>
      </c>
      <c r="E754" s="42">
        <v>1000</v>
      </c>
      <c r="F754" s="42">
        <v>1000</v>
      </c>
    </row>
    <row r="755" spans="1:6" x14ac:dyDescent="0.3">
      <c r="A755" s="42">
        <v>1201</v>
      </c>
      <c r="B755" s="58" t="s">
        <v>147</v>
      </c>
      <c r="C755" s="42" t="s">
        <v>111</v>
      </c>
      <c r="D755" s="42">
        <v>1</v>
      </c>
      <c r="E755" s="42">
        <v>3000</v>
      </c>
      <c r="F755" s="42">
        <v>3000</v>
      </c>
    </row>
    <row r="756" spans="1:6" x14ac:dyDescent="0.3">
      <c r="A756" s="42"/>
      <c r="B756" s="58">
        <v>44739.787971759259</v>
      </c>
      <c r="C756" s="42" t="s">
        <v>3</v>
      </c>
      <c r="D756" s="42"/>
      <c r="E756" s="42"/>
      <c r="F756" s="42">
        <v>1195</v>
      </c>
    </row>
    <row r="757" spans="1:6" x14ac:dyDescent="0.3">
      <c r="A757" s="42" t="s">
        <v>5</v>
      </c>
      <c r="B757" s="58" t="s">
        <v>6</v>
      </c>
      <c r="C757" s="42" t="s">
        <v>7</v>
      </c>
      <c r="D757" s="42" t="s">
        <v>8</v>
      </c>
      <c r="E757" s="42" t="s">
        <v>9</v>
      </c>
      <c r="F757" s="42" t="s">
        <v>10</v>
      </c>
    </row>
    <row r="758" spans="1:6" x14ac:dyDescent="0.3">
      <c r="A758" s="42">
        <v>1001</v>
      </c>
      <c r="B758" s="58" t="s">
        <v>12</v>
      </c>
      <c r="C758" s="42" t="s">
        <v>44</v>
      </c>
      <c r="D758" s="42">
        <v>2</v>
      </c>
      <c r="E758" s="42">
        <v>3000</v>
      </c>
      <c r="F758" s="42">
        <v>6000</v>
      </c>
    </row>
    <row r="759" spans="1:6" x14ac:dyDescent="0.3">
      <c r="A759" s="42">
        <v>1002</v>
      </c>
      <c r="B759" s="58" t="s">
        <v>45</v>
      </c>
      <c r="C759" s="42" t="s">
        <v>44</v>
      </c>
      <c r="D759" s="42">
        <v>5</v>
      </c>
      <c r="E759" s="42">
        <v>750</v>
      </c>
      <c r="F759" s="42">
        <v>3750</v>
      </c>
    </row>
    <row r="760" spans="1:6" x14ac:dyDescent="0.3">
      <c r="A760" s="42">
        <v>1003</v>
      </c>
      <c r="B760" s="58" t="s">
        <v>46</v>
      </c>
      <c r="C760" s="42" t="s">
        <v>44</v>
      </c>
      <c r="D760" s="42">
        <v>1</v>
      </c>
      <c r="E760" s="42">
        <v>2000</v>
      </c>
      <c r="F760" s="42">
        <v>2000</v>
      </c>
    </row>
    <row r="761" spans="1:6" x14ac:dyDescent="0.3">
      <c r="A761" s="42">
        <v>1021</v>
      </c>
      <c r="B761" s="58" t="s">
        <v>64</v>
      </c>
      <c r="C761" s="42" t="s">
        <v>44</v>
      </c>
      <c r="D761" s="42">
        <v>10</v>
      </c>
      <c r="E761" s="42">
        <v>170</v>
      </c>
      <c r="F761" s="42">
        <v>1700</v>
      </c>
    </row>
    <row r="762" spans="1:6" x14ac:dyDescent="0.3">
      <c r="A762" s="42">
        <v>1026</v>
      </c>
      <c r="B762" s="58" t="s">
        <v>67</v>
      </c>
      <c r="C762" s="42" t="s">
        <v>44</v>
      </c>
      <c r="D762" s="42">
        <v>5</v>
      </c>
      <c r="E762" s="42">
        <v>60</v>
      </c>
      <c r="F762" s="42">
        <v>300</v>
      </c>
    </row>
    <row r="763" spans="1:6" x14ac:dyDescent="0.3">
      <c r="A763" s="42">
        <v>1027</v>
      </c>
      <c r="B763" s="58" t="s">
        <v>68</v>
      </c>
      <c r="C763" s="42" t="s">
        <v>44</v>
      </c>
      <c r="D763" s="42">
        <v>5</v>
      </c>
      <c r="E763" s="42">
        <v>20</v>
      </c>
      <c r="F763" s="42">
        <v>100</v>
      </c>
    </row>
    <row r="764" spans="1:6" x14ac:dyDescent="0.3">
      <c r="A764" s="42">
        <v>1113</v>
      </c>
      <c r="B764" s="58" t="s">
        <v>123</v>
      </c>
      <c r="C764" s="42" t="s">
        <v>111</v>
      </c>
      <c r="D764" s="42">
        <v>3</v>
      </c>
      <c r="E764" s="42">
        <v>1000</v>
      </c>
      <c r="F764" s="42">
        <v>3000</v>
      </c>
    </row>
    <row r="765" spans="1:6" x14ac:dyDescent="0.3">
      <c r="A765" s="42">
        <v>1201</v>
      </c>
      <c r="B765" s="58" t="s">
        <v>147</v>
      </c>
      <c r="C765" s="42" t="s">
        <v>111</v>
      </c>
      <c r="D765" s="42">
        <v>1</v>
      </c>
      <c r="E765" s="42">
        <v>3000</v>
      </c>
      <c r="F765" s="42">
        <v>3000</v>
      </c>
    </row>
    <row r="766" spans="1:6" x14ac:dyDescent="0.3">
      <c r="A766" s="42">
        <v>1031</v>
      </c>
      <c r="B766" s="58" t="s">
        <v>72</v>
      </c>
      <c r="C766" s="42" t="s">
        <v>44</v>
      </c>
      <c r="D766" s="42">
        <v>6</v>
      </c>
      <c r="E766" s="42">
        <v>80</v>
      </c>
      <c r="F766" s="42">
        <v>480</v>
      </c>
    </row>
    <row r="767" spans="1:6" x14ac:dyDescent="0.3">
      <c r="A767" s="42"/>
      <c r="B767" s="58">
        <v>44739.794170023146</v>
      </c>
      <c r="C767" s="42" t="s">
        <v>3</v>
      </c>
      <c r="D767" s="42"/>
      <c r="E767" s="42"/>
      <c r="F767" s="42">
        <v>1196</v>
      </c>
    </row>
    <row r="768" spans="1:6" x14ac:dyDescent="0.3">
      <c r="A768" s="42" t="s">
        <v>5</v>
      </c>
      <c r="B768" s="58" t="s">
        <v>6</v>
      </c>
      <c r="C768" s="42" t="s">
        <v>7</v>
      </c>
      <c r="D768" s="42" t="s">
        <v>8</v>
      </c>
      <c r="E768" s="42" t="s">
        <v>9</v>
      </c>
      <c r="F768" s="42" t="s">
        <v>10</v>
      </c>
    </row>
    <row r="769" spans="1:6" x14ac:dyDescent="0.3">
      <c r="A769" s="42">
        <v>1022</v>
      </c>
      <c r="B769" s="58" t="s">
        <v>65</v>
      </c>
      <c r="C769" s="42" t="s">
        <v>44</v>
      </c>
      <c r="D769" s="42">
        <v>2</v>
      </c>
      <c r="E769" s="42">
        <v>300</v>
      </c>
      <c r="F769" s="42">
        <v>600</v>
      </c>
    </row>
    <row r="770" spans="1:6" x14ac:dyDescent="0.3">
      <c r="A770" s="42">
        <v>1103</v>
      </c>
      <c r="B770" s="58" t="s">
        <v>113</v>
      </c>
      <c r="C770" s="42" t="s">
        <v>111</v>
      </c>
      <c r="D770" s="42">
        <v>6</v>
      </c>
      <c r="E770" s="42">
        <v>30</v>
      </c>
      <c r="F770" s="42">
        <v>180</v>
      </c>
    </row>
    <row r="771" spans="1:6" x14ac:dyDescent="0.3">
      <c r="A771" s="42">
        <v>1106</v>
      </c>
      <c r="B771" s="58" t="s">
        <v>116</v>
      </c>
      <c r="C771" s="42" t="s">
        <v>111</v>
      </c>
      <c r="D771" s="42">
        <v>6</v>
      </c>
      <c r="E771" s="42">
        <v>45</v>
      </c>
      <c r="F771" s="42">
        <v>270</v>
      </c>
    </row>
    <row r="772" spans="1:6" x14ac:dyDescent="0.3">
      <c r="A772" s="42">
        <v>1108</v>
      </c>
      <c r="B772" s="58" t="s">
        <v>118</v>
      </c>
      <c r="C772" s="42" t="s">
        <v>111</v>
      </c>
      <c r="D772" s="42">
        <v>12</v>
      </c>
      <c r="E772" s="42">
        <v>5</v>
      </c>
      <c r="F772" s="42">
        <v>60</v>
      </c>
    </row>
    <row r="773" spans="1:6" x14ac:dyDescent="0.3">
      <c r="A773" s="42">
        <v>1113</v>
      </c>
      <c r="B773" s="58" t="s">
        <v>123</v>
      </c>
      <c r="C773" s="42" t="s">
        <v>111</v>
      </c>
      <c r="D773" s="42">
        <v>2</v>
      </c>
      <c r="E773" s="42">
        <v>1000</v>
      </c>
      <c r="F773" s="42">
        <v>2000</v>
      </c>
    </row>
    <row r="774" spans="1:6" x14ac:dyDescent="0.3">
      <c r="A774" s="42">
        <v>1126</v>
      </c>
      <c r="B774" s="58" t="s">
        <v>137</v>
      </c>
      <c r="C774" s="42" t="s">
        <v>111</v>
      </c>
      <c r="D774" s="42">
        <v>1</v>
      </c>
      <c r="E774" s="42">
        <v>440</v>
      </c>
      <c r="F774" s="42">
        <v>440</v>
      </c>
    </row>
    <row r="775" spans="1:6" x14ac:dyDescent="0.3">
      <c r="A775" s="42">
        <v>1030</v>
      </c>
      <c r="B775" s="58" t="s">
        <v>71</v>
      </c>
      <c r="C775" s="42" t="s">
        <v>44</v>
      </c>
      <c r="D775" s="42">
        <v>21</v>
      </c>
      <c r="E775" s="42">
        <v>100</v>
      </c>
      <c r="F775" s="42">
        <v>2100</v>
      </c>
    </row>
    <row r="776" spans="1:6" x14ac:dyDescent="0.3">
      <c r="A776" s="42"/>
      <c r="B776" s="58">
        <v>44739.79771875</v>
      </c>
      <c r="C776" s="42" t="s">
        <v>3</v>
      </c>
      <c r="D776" s="42"/>
      <c r="E776" s="42"/>
      <c r="F776" s="42">
        <v>1197</v>
      </c>
    </row>
    <row r="777" spans="1:6" x14ac:dyDescent="0.3">
      <c r="A777" s="42" t="s">
        <v>5</v>
      </c>
      <c r="B777" s="58" t="s">
        <v>6</v>
      </c>
      <c r="C777" s="42" t="s">
        <v>7</v>
      </c>
      <c r="D777" s="42" t="s">
        <v>8</v>
      </c>
      <c r="E777" s="42" t="s">
        <v>9</v>
      </c>
      <c r="F777" s="42" t="s">
        <v>10</v>
      </c>
    </row>
    <row r="778" spans="1:6" x14ac:dyDescent="0.3">
      <c r="A778" s="42">
        <v>1026</v>
      </c>
      <c r="B778" s="58" t="s">
        <v>67</v>
      </c>
      <c r="C778" s="42" t="s">
        <v>44</v>
      </c>
      <c r="D778" s="42">
        <v>5</v>
      </c>
      <c r="E778" s="42">
        <v>60</v>
      </c>
      <c r="F778" s="42">
        <v>300</v>
      </c>
    </row>
    <row r="779" spans="1:6" x14ac:dyDescent="0.3">
      <c r="A779" s="42">
        <v>1030</v>
      </c>
      <c r="B779" s="58" t="s">
        <v>71</v>
      </c>
      <c r="C779" s="42" t="s">
        <v>44</v>
      </c>
      <c r="D779" s="42">
        <v>8</v>
      </c>
      <c r="E779" s="42">
        <v>100</v>
      </c>
      <c r="F779" s="42">
        <v>800</v>
      </c>
    </row>
    <row r="780" spans="1:6" x14ac:dyDescent="0.3">
      <c r="A780" s="42">
        <v>1031</v>
      </c>
      <c r="B780" s="58" t="s">
        <v>72</v>
      </c>
      <c r="C780" s="42" t="s">
        <v>44</v>
      </c>
      <c r="D780" s="42">
        <v>13</v>
      </c>
      <c r="E780" s="42">
        <v>80</v>
      </c>
      <c r="F780" s="42">
        <v>1040</v>
      </c>
    </row>
    <row r="781" spans="1:6" x14ac:dyDescent="0.3">
      <c r="A781" s="42">
        <v>1103</v>
      </c>
      <c r="B781" s="58" t="s">
        <v>113</v>
      </c>
      <c r="C781" s="42" t="s">
        <v>111</v>
      </c>
      <c r="D781" s="42">
        <v>10</v>
      </c>
      <c r="E781" s="42">
        <v>30</v>
      </c>
      <c r="F781" s="42">
        <v>300</v>
      </c>
    </row>
    <row r="782" spans="1:6" x14ac:dyDescent="0.3">
      <c r="A782" s="42">
        <v>1106</v>
      </c>
      <c r="B782" s="58" t="s">
        <v>116</v>
      </c>
      <c r="C782" s="42" t="s">
        <v>111</v>
      </c>
      <c r="D782" s="42">
        <v>5</v>
      </c>
      <c r="E782" s="42">
        <v>45</v>
      </c>
      <c r="F782" s="42">
        <v>225</v>
      </c>
    </row>
    <row r="783" spans="1:6" x14ac:dyDescent="0.3">
      <c r="A783" s="42">
        <v>1113</v>
      </c>
      <c r="B783" s="58" t="s">
        <v>123</v>
      </c>
      <c r="C783" s="42" t="s">
        <v>111</v>
      </c>
      <c r="D783" s="42">
        <v>4</v>
      </c>
      <c r="E783" s="42">
        <v>1000</v>
      </c>
      <c r="F783" s="42">
        <v>4000</v>
      </c>
    </row>
    <row r="784" spans="1:6" x14ac:dyDescent="0.3">
      <c r="A784" s="42">
        <v>1201</v>
      </c>
      <c r="B784" s="58" t="s">
        <v>147</v>
      </c>
      <c r="C784" s="42" t="s">
        <v>111</v>
      </c>
      <c r="D784" s="42">
        <v>1</v>
      </c>
      <c r="E784" s="42">
        <v>3000</v>
      </c>
      <c r="F784" s="42">
        <v>3000</v>
      </c>
    </row>
    <row r="785" spans="1:6" x14ac:dyDescent="0.3">
      <c r="A785" s="42"/>
      <c r="B785" s="58">
        <v>44739.802935185187</v>
      </c>
      <c r="C785" s="42" t="s">
        <v>3</v>
      </c>
      <c r="D785" s="42"/>
      <c r="E785" s="42"/>
      <c r="F785" s="42">
        <v>1198</v>
      </c>
    </row>
    <row r="786" spans="1:6" x14ac:dyDescent="0.3">
      <c r="A786" s="42" t="s">
        <v>5</v>
      </c>
      <c r="B786" s="58" t="s">
        <v>6</v>
      </c>
      <c r="C786" s="42" t="s">
        <v>7</v>
      </c>
      <c r="D786" s="42" t="s">
        <v>8</v>
      </c>
      <c r="E786" s="42" t="s">
        <v>9</v>
      </c>
      <c r="F786" s="42" t="s">
        <v>10</v>
      </c>
    </row>
    <row r="787" spans="1:6" x14ac:dyDescent="0.3">
      <c r="A787" s="42">
        <v>1030</v>
      </c>
      <c r="B787" s="58" t="s">
        <v>71</v>
      </c>
      <c r="C787" s="42" t="s">
        <v>44</v>
      </c>
      <c r="D787" s="42">
        <v>35</v>
      </c>
      <c r="E787" s="42">
        <v>100</v>
      </c>
      <c r="F787" s="42">
        <v>3500</v>
      </c>
    </row>
    <row r="788" spans="1:6" x14ac:dyDescent="0.3">
      <c r="A788" s="42">
        <v>1048</v>
      </c>
      <c r="B788" s="58" t="s">
        <v>90</v>
      </c>
      <c r="C788" s="42" t="s">
        <v>44</v>
      </c>
      <c r="D788" s="42">
        <v>1</v>
      </c>
      <c r="E788" s="42">
        <v>250</v>
      </c>
      <c r="F788" s="42">
        <v>250</v>
      </c>
    </row>
    <row r="789" spans="1:6" x14ac:dyDescent="0.3">
      <c r="A789" s="42">
        <v>1059</v>
      </c>
      <c r="B789" s="58" t="s">
        <v>101</v>
      </c>
      <c r="C789" s="42" t="s">
        <v>44</v>
      </c>
      <c r="D789" s="42">
        <v>2</v>
      </c>
      <c r="E789" s="42">
        <v>100</v>
      </c>
      <c r="F789" s="42">
        <v>200</v>
      </c>
    </row>
    <row r="790" spans="1:6" x14ac:dyDescent="0.3">
      <c r="A790" s="42">
        <v>1060</v>
      </c>
      <c r="B790" s="58" t="s">
        <v>102</v>
      </c>
      <c r="C790" s="42" t="s">
        <v>44</v>
      </c>
      <c r="D790" s="42">
        <v>2</v>
      </c>
      <c r="E790" s="42">
        <v>20</v>
      </c>
      <c r="F790" s="42">
        <v>40</v>
      </c>
    </row>
    <row r="791" spans="1:6" x14ac:dyDescent="0.3">
      <c r="A791" s="42">
        <v>1062</v>
      </c>
      <c r="B791" s="58" t="s">
        <v>104</v>
      </c>
      <c r="C791" s="42" t="s">
        <v>44</v>
      </c>
      <c r="D791" s="42">
        <v>1</v>
      </c>
      <c r="E791" s="42">
        <v>150</v>
      </c>
      <c r="F791" s="42">
        <v>150</v>
      </c>
    </row>
    <row r="792" spans="1:6" x14ac:dyDescent="0.3">
      <c r="A792" s="42">
        <v>1101</v>
      </c>
      <c r="B792" s="58" t="s">
        <v>110</v>
      </c>
      <c r="C792" s="42" t="s">
        <v>111</v>
      </c>
      <c r="D792" s="42">
        <v>5</v>
      </c>
      <c r="E792" s="42">
        <v>125</v>
      </c>
      <c r="F792" s="42">
        <v>625</v>
      </c>
    </row>
    <row r="793" spans="1:6" x14ac:dyDescent="0.3">
      <c r="A793" s="42">
        <v>1103</v>
      </c>
      <c r="B793" s="58" t="s">
        <v>113</v>
      </c>
      <c r="C793" s="42" t="s">
        <v>111</v>
      </c>
      <c r="D793" s="42">
        <v>15</v>
      </c>
      <c r="E793" s="42">
        <v>30</v>
      </c>
      <c r="F793" s="42">
        <v>450</v>
      </c>
    </row>
    <row r="794" spans="1:6" x14ac:dyDescent="0.3">
      <c r="A794" s="42">
        <v>1106</v>
      </c>
      <c r="B794" s="58" t="s">
        <v>116</v>
      </c>
      <c r="C794" s="42" t="s">
        <v>111</v>
      </c>
      <c r="D794" s="42">
        <v>5</v>
      </c>
      <c r="E794" s="42">
        <v>45</v>
      </c>
      <c r="F794" s="42">
        <v>225</v>
      </c>
    </row>
    <row r="795" spans="1:6" x14ac:dyDescent="0.3">
      <c r="A795" s="42">
        <v>1108</v>
      </c>
      <c r="B795" s="58" t="s">
        <v>118</v>
      </c>
      <c r="C795" s="42" t="s">
        <v>111</v>
      </c>
      <c r="D795" s="42">
        <v>4</v>
      </c>
      <c r="E795" s="42">
        <v>5</v>
      </c>
      <c r="F795" s="42">
        <v>20</v>
      </c>
    </row>
    <row r="796" spans="1:6" x14ac:dyDescent="0.3">
      <c r="A796" s="42">
        <v>1113</v>
      </c>
      <c r="B796" s="58" t="s">
        <v>123</v>
      </c>
      <c r="C796" s="42" t="s">
        <v>111</v>
      </c>
      <c r="D796" s="42">
        <v>5</v>
      </c>
      <c r="E796" s="42">
        <v>1000</v>
      </c>
      <c r="F796" s="42">
        <v>5000</v>
      </c>
    </row>
    <row r="797" spans="1:6" x14ac:dyDescent="0.3">
      <c r="A797" s="42">
        <v>1116</v>
      </c>
      <c r="B797" s="58" t="s">
        <v>126</v>
      </c>
      <c r="C797" s="42" t="s">
        <v>111</v>
      </c>
      <c r="D797" s="42">
        <v>1</v>
      </c>
      <c r="E797" s="42">
        <v>3500</v>
      </c>
      <c r="F797" s="42">
        <v>3500</v>
      </c>
    </row>
    <row r="798" spans="1:6" x14ac:dyDescent="0.3">
      <c r="A798" s="42">
        <v>1201</v>
      </c>
      <c r="B798" s="58" t="s">
        <v>147</v>
      </c>
      <c r="C798" s="42" t="s">
        <v>111</v>
      </c>
      <c r="D798" s="42">
        <v>1</v>
      </c>
      <c r="E798" s="42">
        <v>3000</v>
      </c>
      <c r="F798" s="42">
        <v>3000</v>
      </c>
    </row>
    <row r="799" spans="1:6" x14ac:dyDescent="0.3">
      <c r="A799" s="42"/>
      <c r="B799" s="58">
        <v>44739.805685648149</v>
      </c>
      <c r="C799" s="42" t="s">
        <v>3</v>
      </c>
      <c r="D799" s="42"/>
      <c r="E799" s="42"/>
      <c r="F799" s="42">
        <v>1192</v>
      </c>
    </row>
    <row r="800" spans="1:6" x14ac:dyDescent="0.3">
      <c r="A800" s="42" t="s">
        <v>5</v>
      </c>
      <c r="B800" s="58" t="s">
        <v>6</v>
      </c>
      <c r="C800" s="42" t="s">
        <v>7</v>
      </c>
      <c r="D800" s="42" t="s">
        <v>8</v>
      </c>
      <c r="E800" s="42" t="s">
        <v>9</v>
      </c>
      <c r="F800" s="42" t="s">
        <v>10</v>
      </c>
    </row>
    <row r="801" spans="1:6" x14ac:dyDescent="0.3">
      <c r="A801" s="42">
        <v>1021</v>
      </c>
      <c r="B801" s="58" t="s">
        <v>64</v>
      </c>
      <c r="C801" s="42" t="s">
        <v>44</v>
      </c>
      <c r="D801" s="42">
        <v>5</v>
      </c>
      <c r="E801" s="42">
        <v>170</v>
      </c>
      <c r="F801" s="42">
        <v>850</v>
      </c>
    </row>
    <row r="802" spans="1:6" x14ac:dyDescent="0.3">
      <c r="A802" s="42">
        <v>1030</v>
      </c>
      <c r="B802" s="58" t="s">
        <v>71</v>
      </c>
      <c r="C802" s="42" t="s">
        <v>44</v>
      </c>
      <c r="D802" s="42">
        <v>15</v>
      </c>
      <c r="E802" s="42">
        <v>100</v>
      </c>
      <c r="F802" s="42">
        <v>1500</v>
      </c>
    </row>
    <row r="803" spans="1:6" x14ac:dyDescent="0.3">
      <c r="A803" s="42">
        <v>1053</v>
      </c>
      <c r="B803" s="58" t="s">
        <v>95</v>
      </c>
      <c r="C803" s="42" t="s">
        <v>44</v>
      </c>
      <c r="D803" s="42">
        <v>1</v>
      </c>
      <c r="E803" s="42">
        <v>150</v>
      </c>
      <c r="F803" s="42">
        <v>150</v>
      </c>
    </row>
    <row r="804" spans="1:6" x14ac:dyDescent="0.3">
      <c r="A804" s="42">
        <v>1059</v>
      </c>
      <c r="B804" s="58" t="s">
        <v>101</v>
      </c>
      <c r="C804" s="42" t="s">
        <v>44</v>
      </c>
      <c r="D804" s="42">
        <v>2</v>
      </c>
      <c r="E804" s="42">
        <v>100</v>
      </c>
      <c r="F804" s="42">
        <v>200</v>
      </c>
    </row>
    <row r="805" spans="1:6" x14ac:dyDescent="0.3">
      <c r="A805" s="42">
        <v>1106</v>
      </c>
      <c r="B805" s="58" t="s">
        <v>116</v>
      </c>
      <c r="C805" s="42" t="s">
        <v>111</v>
      </c>
      <c r="D805" s="42">
        <v>4</v>
      </c>
      <c r="E805" s="42">
        <v>45</v>
      </c>
      <c r="F805" s="42">
        <v>180</v>
      </c>
    </row>
    <row r="806" spans="1:6" x14ac:dyDescent="0.3">
      <c r="A806" s="42">
        <v>1108</v>
      </c>
      <c r="B806" s="58" t="s">
        <v>118</v>
      </c>
      <c r="C806" s="42" t="s">
        <v>111</v>
      </c>
      <c r="D806" s="42">
        <v>4</v>
      </c>
      <c r="E806" s="42">
        <v>5</v>
      </c>
      <c r="F806" s="42">
        <v>20</v>
      </c>
    </row>
    <row r="807" spans="1:6" x14ac:dyDescent="0.3">
      <c r="A807" s="42">
        <v>1113</v>
      </c>
      <c r="B807" s="58" t="s">
        <v>123</v>
      </c>
      <c r="C807" s="42" t="s">
        <v>111</v>
      </c>
      <c r="D807" s="42">
        <v>1</v>
      </c>
      <c r="E807" s="42">
        <v>1000</v>
      </c>
      <c r="F807" s="42">
        <v>1000</v>
      </c>
    </row>
    <row r="808" spans="1:6" x14ac:dyDescent="0.3">
      <c r="A808" s="42">
        <v>1114</v>
      </c>
      <c r="B808" s="58" t="s">
        <v>124</v>
      </c>
      <c r="C808" s="42" t="s">
        <v>111</v>
      </c>
      <c r="D808" s="42">
        <v>1</v>
      </c>
      <c r="E808" s="42">
        <v>450</v>
      </c>
      <c r="F808" s="42">
        <v>450</v>
      </c>
    </row>
    <row r="809" spans="1:6" x14ac:dyDescent="0.3">
      <c r="A809" s="42"/>
      <c r="B809" s="58">
        <v>44739.807303472226</v>
      </c>
      <c r="C809" s="42" t="s">
        <v>3</v>
      </c>
      <c r="D809" s="42"/>
      <c r="E809" s="42"/>
      <c r="F809" s="42">
        <v>1199</v>
      </c>
    </row>
    <row r="810" spans="1:6" x14ac:dyDescent="0.3">
      <c r="A810" s="42" t="s">
        <v>5</v>
      </c>
      <c r="B810" s="58" t="s">
        <v>6</v>
      </c>
      <c r="C810" s="42" t="s">
        <v>7</v>
      </c>
      <c r="D810" s="42" t="s">
        <v>8</v>
      </c>
      <c r="E810" s="42" t="s">
        <v>9</v>
      </c>
      <c r="F810" s="42" t="s">
        <v>10</v>
      </c>
    </row>
    <row r="811" spans="1:6" x14ac:dyDescent="0.3">
      <c r="A811" s="42">
        <v>1201</v>
      </c>
      <c r="B811" s="58" t="s">
        <v>147</v>
      </c>
      <c r="C811" s="42" t="s">
        <v>111</v>
      </c>
      <c r="D811" s="42">
        <v>1</v>
      </c>
      <c r="E811" s="42">
        <v>3000</v>
      </c>
      <c r="F811" s="42">
        <v>3000</v>
      </c>
    </row>
    <row r="812" spans="1:6" x14ac:dyDescent="0.3">
      <c r="A812" s="42">
        <v>1062</v>
      </c>
      <c r="B812" s="58" t="s">
        <v>104</v>
      </c>
      <c r="C812" s="42" t="s">
        <v>44</v>
      </c>
      <c r="D812" s="42">
        <v>1</v>
      </c>
      <c r="E812" s="42">
        <v>150</v>
      </c>
      <c r="F812" s="42">
        <v>150</v>
      </c>
    </row>
    <row r="813" spans="1:6" x14ac:dyDescent="0.3">
      <c r="A813" s="42"/>
      <c r="B813" s="58">
        <v>44739.808269212961</v>
      </c>
      <c r="C813" s="42" t="s">
        <v>3</v>
      </c>
      <c r="D813" s="42"/>
      <c r="E813" s="42"/>
      <c r="F813" s="42">
        <v>1200</v>
      </c>
    </row>
    <row r="814" spans="1:6" x14ac:dyDescent="0.3">
      <c r="A814" s="42" t="s">
        <v>5</v>
      </c>
      <c r="B814" s="58" t="s">
        <v>6</v>
      </c>
      <c r="C814" s="42" t="s">
        <v>7</v>
      </c>
      <c r="D814" s="42" t="s">
        <v>8</v>
      </c>
      <c r="E814" s="42" t="s">
        <v>9</v>
      </c>
      <c r="F814" s="42" t="s">
        <v>10</v>
      </c>
    </row>
    <row r="815" spans="1:6" x14ac:dyDescent="0.3">
      <c r="A815" s="42">
        <v>1053</v>
      </c>
      <c r="B815" s="58" t="s">
        <v>95</v>
      </c>
      <c r="C815" s="42" t="s">
        <v>44</v>
      </c>
      <c r="D815" s="42">
        <v>1</v>
      </c>
      <c r="E815" s="42">
        <v>150</v>
      </c>
      <c r="F815" s="42">
        <v>150</v>
      </c>
    </row>
    <row r="816" spans="1:6" x14ac:dyDescent="0.3">
      <c r="A816" s="42">
        <v>1113</v>
      </c>
      <c r="B816" s="58" t="s">
        <v>123</v>
      </c>
      <c r="C816" s="42" t="s">
        <v>111</v>
      </c>
      <c r="D816" s="42">
        <v>2</v>
      </c>
      <c r="E816" s="42">
        <v>1000</v>
      </c>
      <c r="F816" s="42">
        <v>2000</v>
      </c>
    </row>
    <row r="817" spans="1:6" x14ac:dyDescent="0.3">
      <c r="A817" s="42">
        <v>1134</v>
      </c>
      <c r="B817" s="58" t="s">
        <v>145</v>
      </c>
      <c r="C817" s="42" t="s">
        <v>111</v>
      </c>
      <c r="D817" s="42">
        <v>1</v>
      </c>
      <c r="E817" s="42">
        <v>150</v>
      </c>
      <c r="F817" s="42">
        <v>150</v>
      </c>
    </row>
    <row r="818" spans="1:6" x14ac:dyDescent="0.3">
      <c r="A818" s="42">
        <v>1201</v>
      </c>
      <c r="B818" s="58" t="s">
        <v>147</v>
      </c>
      <c r="C818" s="42" t="s">
        <v>111</v>
      </c>
      <c r="D818" s="42">
        <v>1</v>
      </c>
      <c r="E818" s="42">
        <v>3000</v>
      </c>
      <c r="F818" s="42">
        <v>3000</v>
      </c>
    </row>
    <row r="819" spans="1:6" x14ac:dyDescent="0.3">
      <c r="A819" s="42">
        <v>1126</v>
      </c>
      <c r="B819" s="58" t="s">
        <v>137</v>
      </c>
      <c r="C819" s="42" t="s">
        <v>111</v>
      </c>
      <c r="D819" s="42">
        <v>1</v>
      </c>
      <c r="E819" s="42">
        <v>440</v>
      </c>
      <c r="F819" s="42">
        <v>440</v>
      </c>
    </row>
    <row r="820" spans="1:6" x14ac:dyDescent="0.3">
      <c r="A820" s="42"/>
      <c r="B820" s="58">
        <v>44739.808743981484</v>
      </c>
      <c r="C820" s="42" t="s">
        <v>3</v>
      </c>
      <c r="D820" s="42"/>
      <c r="E820" s="42"/>
      <c r="F820" s="42">
        <v>1201</v>
      </c>
    </row>
    <row r="821" spans="1:6" x14ac:dyDescent="0.3">
      <c r="A821" s="42" t="s">
        <v>5</v>
      </c>
      <c r="B821" s="58" t="s">
        <v>6</v>
      </c>
      <c r="C821" s="42" t="s">
        <v>7</v>
      </c>
      <c r="D821" s="42" t="s">
        <v>8</v>
      </c>
      <c r="E821" s="42" t="s">
        <v>9</v>
      </c>
      <c r="F821" s="42" t="s">
        <v>10</v>
      </c>
    </row>
    <row r="822" spans="1:6" x14ac:dyDescent="0.3">
      <c r="A822" s="42">
        <v>1116</v>
      </c>
      <c r="B822" s="58" t="s">
        <v>126</v>
      </c>
      <c r="C822" s="42" t="s">
        <v>111</v>
      </c>
      <c r="D822" s="42">
        <v>1</v>
      </c>
      <c r="E822" s="42">
        <v>3500</v>
      </c>
      <c r="F822" s="42">
        <v>3500</v>
      </c>
    </row>
    <row r="823" spans="1:6" x14ac:dyDescent="0.3">
      <c r="A823" s="42"/>
      <c r="B823" s="58">
        <v>44739.810708680554</v>
      </c>
      <c r="C823" s="42" t="s">
        <v>3</v>
      </c>
      <c r="D823" s="42"/>
      <c r="E823" s="42"/>
      <c r="F823" s="42">
        <v>1202</v>
      </c>
    </row>
    <row r="824" spans="1:6" x14ac:dyDescent="0.3">
      <c r="A824" s="42" t="s">
        <v>5</v>
      </c>
      <c r="B824" s="58" t="s">
        <v>6</v>
      </c>
      <c r="C824" s="42" t="s">
        <v>7</v>
      </c>
      <c r="D824" s="42" t="s">
        <v>8</v>
      </c>
      <c r="E824" s="42" t="s">
        <v>9</v>
      </c>
      <c r="F824" s="42" t="s">
        <v>10</v>
      </c>
    </row>
    <row r="825" spans="1:6" x14ac:dyDescent="0.3">
      <c r="A825" s="42">
        <v>1026</v>
      </c>
      <c r="B825" s="58" t="s">
        <v>67</v>
      </c>
      <c r="C825" s="42" t="s">
        <v>44</v>
      </c>
      <c r="D825" s="42">
        <v>5</v>
      </c>
      <c r="E825" s="42">
        <v>60</v>
      </c>
      <c r="F825" s="42">
        <v>300</v>
      </c>
    </row>
    <row r="826" spans="1:6" x14ac:dyDescent="0.3">
      <c r="A826" s="42"/>
      <c r="B826" s="58">
        <v>44740.445562037035</v>
      </c>
      <c r="C826" s="42" t="s">
        <v>3</v>
      </c>
      <c r="D826" s="42"/>
      <c r="E826" s="42"/>
      <c r="F826" s="42">
        <v>1152</v>
      </c>
    </row>
    <row r="827" spans="1:6" x14ac:dyDescent="0.3">
      <c r="A827" s="42" t="s">
        <v>5</v>
      </c>
      <c r="B827" s="58" t="s">
        <v>6</v>
      </c>
      <c r="C827" s="42" t="s">
        <v>7</v>
      </c>
      <c r="D827" s="42" t="s">
        <v>8</v>
      </c>
      <c r="E827" s="42" t="s">
        <v>9</v>
      </c>
      <c r="F827" s="42" t="s">
        <v>10</v>
      </c>
    </row>
    <row r="828" spans="1:6" x14ac:dyDescent="0.3">
      <c r="A828" s="42">
        <v>1030</v>
      </c>
      <c r="B828" s="58" t="s">
        <v>71</v>
      </c>
      <c r="C828" s="42" t="s">
        <v>44</v>
      </c>
      <c r="D828" s="42">
        <v>33</v>
      </c>
      <c r="E828" s="42">
        <v>100</v>
      </c>
      <c r="F828" s="42">
        <v>3300</v>
      </c>
    </row>
    <row r="829" spans="1:6" x14ac:dyDescent="0.3">
      <c r="A829" s="42">
        <v>1050</v>
      </c>
      <c r="B829" s="58" t="s">
        <v>92</v>
      </c>
      <c r="C829" s="42" t="s">
        <v>44</v>
      </c>
      <c r="D829" s="42">
        <v>2</v>
      </c>
      <c r="E829" s="42">
        <v>60</v>
      </c>
      <c r="F829" s="42">
        <v>120</v>
      </c>
    </row>
    <row r="830" spans="1:6" x14ac:dyDescent="0.3">
      <c r="A830" s="42">
        <v>1051</v>
      </c>
      <c r="B830" s="58" t="s">
        <v>93</v>
      </c>
      <c r="C830" s="42" t="s">
        <v>44</v>
      </c>
      <c r="D830" s="42">
        <v>1</v>
      </c>
      <c r="E830" s="42">
        <v>10</v>
      </c>
      <c r="F830" s="42">
        <v>10</v>
      </c>
    </row>
    <row r="831" spans="1:6" x14ac:dyDescent="0.3">
      <c r="A831" s="42">
        <v>1053</v>
      </c>
      <c r="B831" s="58" t="s">
        <v>95</v>
      </c>
      <c r="C831" s="42" t="s">
        <v>44</v>
      </c>
      <c r="D831" s="42">
        <v>2</v>
      </c>
      <c r="E831" s="42">
        <v>150</v>
      </c>
      <c r="F831" s="42">
        <v>300</v>
      </c>
    </row>
    <row r="832" spans="1:6" x14ac:dyDescent="0.3">
      <c r="A832" s="42">
        <v>1056</v>
      </c>
      <c r="B832" s="58" t="s">
        <v>98</v>
      </c>
      <c r="C832" s="42" t="s">
        <v>44</v>
      </c>
      <c r="D832" s="42">
        <v>6</v>
      </c>
      <c r="E832" s="42">
        <v>5</v>
      </c>
      <c r="F832" s="42">
        <v>30</v>
      </c>
    </row>
    <row r="833" spans="1:6" x14ac:dyDescent="0.3">
      <c r="A833" s="42">
        <v>1057</v>
      </c>
      <c r="B833" s="58" t="s">
        <v>99</v>
      </c>
      <c r="C833" s="42" t="s">
        <v>44</v>
      </c>
      <c r="D833" s="42">
        <v>1</v>
      </c>
      <c r="E833" s="42">
        <v>30</v>
      </c>
      <c r="F833" s="42">
        <v>30</v>
      </c>
    </row>
    <row r="834" spans="1:6" x14ac:dyDescent="0.3">
      <c r="A834" s="42">
        <v>1059</v>
      </c>
      <c r="B834" s="58" t="s">
        <v>101</v>
      </c>
      <c r="C834" s="42" t="s">
        <v>44</v>
      </c>
      <c r="D834" s="42">
        <v>2</v>
      </c>
      <c r="E834" s="42">
        <v>100</v>
      </c>
      <c r="F834" s="42">
        <v>200</v>
      </c>
    </row>
    <row r="835" spans="1:6" x14ac:dyDescent="0.3">
      <c r="A835" s="42">
        <v>1061</v>
      </c>
      <c r="B835" s="58" t="s">
        <v>103</v>
      </c>
      <c r="C835" s="42" t="s">
        <v>44</v>
      </c>
      <c r="D835" s="42">
        <v>2</v>
      </c>
      <c r="E835" s="42">
        <v>10</v>
      </c>
      <c r="F835" s="42">
        <v>20</v>
      </c>
    </row>
    <row r="836" spans="1:6" x14ac:dyDescent="0.3">
      <c r="A836" s="42">
        <v>1113</v>
      </c>
      <c r="B836" s="58" t="s">
        <v>123</v>
      </c>
      <c r="C836" s="42" t="s">
        <v>111</v>
      </c>
      <c r="D836" s="42">
        <v>4</v>
      </c>
      <c r="E836" s="42">
        <v>1000</v>
      </c>
      <c r="F836" s="42">
        <v>4000</v>
      </c>
    </row>
    <row r="837" spans="1:6" x14ac:dyDescent="0.3">
      <c r="A837" s="42">
        <v>1201</v>
      </c>
      <c r="B837" s="58" t="s">
        <v>147</v>
      </c>
      <c r="C837" s="42" t="s">
        <v>111</v>
      </c>
      <c r="D837" s="42">
        <v>1</v>
      </c>
      <c r="E837" s="42">
        <v>3000</v>
      </c>
      <c r="F837" s="42">
        <v>3000</v>
      </c>
    </row>
    <row r="838" spans="1:6" x14ac:dyDescent="0.3">
      <c r="A838" s="42">
        <v>1106</v>
      </c>
      <c r="B838" s="58" t="s">
        <v>116</v>
      </c>
      <c r="C838" s="42" t="s">
        <v>111</v>
      </c>
      <c r="D838" s="42">
        <v>6</v>
      </c>
      <c r="E838" s="42">
        <v>45</v>
      </c>
      <c r="F838" s="42">
        <v>270</v>
      </c>
    </row>
    <row r="839" spans="1:6" x14ac:dyDescent="0.3">
      <c r="A839" s="42">
        <v>1422</v>
      </c>
      <c r="B839" s="58" t="s">
        <v>195</v>
      </c>
      <c r="C839" s="42" t="s">
        <v>111</v>
      </c>
      <c r="D839" s="42">
        <v>2</v>
      </c>
      <c r="E839" s="42">
        <v>150</v>
      </c>
      <c r="F839" s="42">
        <v>300</v>
      </c>
    </row>
    <row r="840" spans="1:6" x14ac:dyDescent="0.3">
      <c r="A840" s="42">
        <v>1060</v>
      </c>
      <c r="B840" s="58" t="s">
        <v>102</v>
      </c>
      <c r="C840" s="42" t="s">
        <v>44</v>
      </c>
      <c r="D840" s="42">
        <v>5</v>
      </c>
      <c r="E840" s="42">
        <v>20</v>
      </c>
      <c r="F840" s="42">
        <v>100</v>
      </c>
    </row>
    <row r="841" spans="1:6" x14ac:dyDescent="0.3">
      <c r="A841" s="42"/>
      <c r="B841" s="58">
        <v>44740.505099768518</v>
      </c>
      <c r="C841" s="42" t="s">
        <v>3</v>
      </c>
      <c r="D841" s="42"/>
      <c r="E841" s="42"/>
      <c r="F841" s="42">
        <v>1203</v>
      </c>
    </row>
    <row r="842" spans="1:6" x14ac:dyDescent="0.3">
      <c r="A842" s="42" t="s">
        <v>5</v>
      </c>
      <c r="B842" s="58" t="s">
        <v>6</v>
      </c>
      <c r="C842" s="42" t="s">
        <v>7</v>
      </c>
      <c r="D842" s="42" t="s">
        <v>8</v>
      </c>
      <c r="E842" s="42" t="s">
        <v>9</v>
      </c>
      <c r="F842" s="42" t="s">
        <v>10</v>
      </c>
    </row>
    <row r="843" spans="1:6" x14ac:dyDescent="0.3">
      <c r="A843" s="42">
        <v>1001</v>
      </c>
      <c r="B843" s="58" t="s">
        <v>12</v>
      </c>
      <c r="C843" s="42" t="s">
        <v>44</v>
      </c>
      <c r="D843" s="42">
        <v>3</v>
      </c>
      <c r="E843" s="42">
        <v>3000</v>
      </c>
      <c r="F843" s="42">
        <v>9000</v>
      </c>
    </row>
    <row r="844" spans="1:6" x14ac:dyDescent="0.3">
      <c r="A844" s="42">
        <v>1002</v>
      </c>
      <c r="B844" s="58" t="s">
        <v>45</v>
      </c>
      <c r="C844" s="42" t="s">
        <v>44</v>
      </c>
      <c r="D844" s="42">
        <v>3</v>
      </c>
      <c r="E844" s="42">
        <v>750</v>
      </c>
      <c r="F844" s="42">
        <v>2250</v>
      </c>
    </row>
    <row r="845" spans="1:6" x14ac:dyDescent="0.3">
      <c r="A845" s="42">
        <v>1003</v>
      </c>
      <c r="B845" s="58" t="s">
        <v>46</v>
      </c>
      <c r="C845" s="42" t="s">
        <v>44</v>
      </c>
      <c r="D845" s="42">
        <v>1</v>
      </c>
      <c r="E845" s="42">
        <v>2000</v>
      </c>
      <c r="F845" s="42">
        <v>2000</v>
      </c>
    </row>
    <row r="846" spans="1:6" x14ac:dyDescent="0.3">
      <c r="A846" s="42">
        <v>1004</v>
      </c>
      <c r="B846" s="58" t="s">
        <v>47</v>
      </c>
      <c r="C846" s="42" t="s">
        <v>44</v>
      </c>
      <c r="D846" s="42">
        <v>1</v>
      </c>
      <c r="E846" s="42">
        <v>6000</v>
      </c>
      <c r="F846" s="42">
        <v>6000</v>
      </c>
    </row>
    <row r="847" spans="1:6" x14ac:dyDescent="0.3">
      <c r="A847" s="42">
        <v>1010</v>
      </c>
      <c r="B847" s="58" t="s">
        <v>53</v>
      </c>
      <c r="C847" s="42" t="s">
        <v>44</v>
      </c>
      <c r="D847" s="42">
        <v>1</v>
      </c>
      <c r="E847" s="42">
        <v>3600</v>
      </c>
      <c r="F847" s="42">
        <v>3600</v>
      </c>
    </row>
    <row r="848" spans="1:6" x14ac:dyDescent="0.3">
      <c r="A848" s="42">
        <v>1021</v>
      </c>
      <c r="B848" s="58" t="s">
        <v>64</v>
      </c>
      <c r="C848" s="42" t="s">
        <v>44</v>
      </c>
      <c r="D848" s="42">
        <v>2</v>
      </c>
      <c r="E848" s="42">
        <v>170</v>
      </c>
      <c r="F848" s="42">
        <v>340</v>
      </c>
    </row>
    <row r="849" spans="1:6" x14ac:dyDescent="0.3">
      <c r="A849" s="42">
        <v>1113</v>
      </c>
      <c r="B849" s="58" t="s">
        <v>123</v>
      </c>
      <c r="C849" s="42" t="s">
        <v>111</v>
      </c>
      <c r="D849" s="42">
        <v>3</v>
      </c>
      <c r="E849" s="42">
        <v>1000</v>
      </c>
      <c r="F849" s="42">
        <v>3000</v>
      </c>
    </row>
    <row r="850" spans="1:6" x14ac:dyDescent="0.3">
      <c r="A850" s="42">
        <v>1421</v>
      </c>
      <c r="B850" s="58" t="s">
        <v>194</v>
      </c>
      <c r="C850" s="42" t="s">
        <v>111</v>
      </c>
      <c r="D850" s="42">
        <v>1</v>
      </c>
      <c r="E850" s="42">
        <v>150</v>
      </c>
      <c r="F850" s="42">
        <v>150</v>
      </c>
    </row>
    <row r="851" spans="1:6" x14ac:dyDescent="0.3">
      <c r="A851" s="42"/>
      <c r="B851" s="58">
        <v>44740.517909490743</v>
      </c>
      <c r="C851" s="42" t="s">
        <v>3</v>
      </c>
      <c r="D851" s="42"/>
      <c r="E851" s="42"/>
      <c r="F851" s="42">
        <v>1204</v>
      </c>
    </row>
    <row r="852" spans="1:6" x14ac:dyDescent="0.3">
      <c r="A852" s="42" t="s">
        <v>5</v>
      </c>
      <c r="B852" s="58" t="s">
        <v>6</v>
      </c>
      <c r="C852" s="42" t="s">
        <v>7</v>
      </c>
      <c r="D852" s="42" t="s">
        <v>8</v>
      </c>
      <c r="E852" s="42" t="s">
        <v>9</v>
      </c>
      <c r="F852" s="42" t="s">
        <v>10</v>
      </c>
    </row>
    <row r="853" spans="1:6" x14ac:dyDescent="0.3">
      <c r="A853" s="42">
        <v>1113</v>
      </c>
      <c r="B853" s="58" t="s">
        <v>123</v>
      </c>
      <c r="C853" s="42" t="s">
        <v>111</v>
      </c>
      <c r="D853" s="42">
        <v>2</v>
      </c>
      <c r="E853" s="42">
        <v>1000</v>
      </c>
      <c r="F853" s="42">
        <v>2000</v>
      </c>
    </row>
    <row r="854" spans="1:6" x14ac:dyDescent="0.3">
      <c r="A854" s="42"/>
      <c r="B854" s="58">
        <v>44740.523224652781</v>
      </c>
      <c r="C854" s="42" t="s">
        <v>3</v>
      </c>
      <c r="D854" s="42"/>
      <c r="E854" s="42"/>
      <c r="F854" s="42">
        <v>1205</v>
      </c>
    </row>
    <row r="855" spans="1:6" x14ac:dyDescent="0.3">
      <c r="A855" s="42" t="s">
        <v>5</v>
      </c>
      <c r="B855" s="58" t="s">
        <v>6</v>
      </c>
      <c r="C855" s="42" t="s">
        <v>7</v>
      </c>
      <c r="D855" s="42" t="s">
        <v>8</v>
      </c>
      <c r="E855" s="42" t="s">
        <v>9</v>
      </c>
      <c r="F855" s="42" t="s">
        <v>10</v>
      </c>
    </row>
    <row r="856" spans="1:6" x14ac:dyDescent="0.3">
      <c r="A856" s="42">
        <v>1113</v>
      </c>
      <c r="B856" s="58" t="s">
        <v>123</v>
      </c>
      <c r="C856" s="42" t="s">
        <v>111</v>
      </c>
      <c r="D856" s="42">
        <v>2</v>
      </c>
      <c r="E856" s="42">
        <v>1000</v>
      </c>
      <c r="F856" s="42">
        <v>2000</v>
      </c>
    </row>
    <row r="857" spans="1:6" x14ac:dyDescent="0.3">
      <c r="A857" s="42">
        <v>1021</v>
      </c>
      <c r="B857" s="58" t="s">
        <v>64</v>
      </c>
      <c r="C857" s="42" t="s">
        <v>44</v>
      </c>
      <c r="D857" s="42">
        <v>2</v>
      </c>
      <c r="E857" s="42">
        <v>170</v>
      </c>
      <c r="F857" s="42">
        <v>340</v>
      </c>
    </row>
    <row r="858" spans="1:6" x14ac:dyDescent="0.3">
      <c r="A858" s="42"/>
      <c r="B858" s="58">
        <v>44740.709676388891</v>
      </c>
      <c r="C858" s="42" t="s">
        <v>3</v>
      </c>
      <c r="D858" s="42"/>
      <c r="E858" s="42"/>
      <c r="F858" s="42">
        <v>1206</v>
      </c>
    </row>
    <row r="859" spans="1:6" x14ac:dyDescent="0.3">
      <c r="A859" s="42" t="s">
        <v>5</v>
      </c>
      <c r="B859" s="58" t="s">
        <v>6</v>
      </c>
      <c r="C859" s="42" t="s">
        <v>7</v>
      </c>
      <c r="D859" s="42" t="s">
        <v>8</v>
      </c>
      <c r="E859" s="42" t="s">
        <v>9</v>
      </c>
      <c r="F859" s="42" t="s">
        <v>10</v>
      </c>
    </row>
    <row r="860" spans="1:6" x14ac:dyDescent="0.3">
      <c r="A860" s="42">
        <v>1031</v>
      </c>
      <c r="B860" s="58" t="s">
        <v>72</v>
      </c>
      <c r="C860" s="42" t="s">
        <v>44</v>
      </c>
      <c r="D860" s="42">
        <v>30</v>
      </c>
      <c r="E860" s="42">
        <v>80</v>
      </c>
      <c r="F860" s="42">
        <v>2400</v>
      </c>
    </row>
    <row r="861" spans="1:6" x14ac:dyDescent="0.3">
      <c r="A861" s="42">
        <v>1049</v>
      </c>
      <c r="B861" s="58" t="s">
        <v>91</v>
      </c>
      <c r="C861" s="42" t="s">
        <v>44</v>
      </c>
      <c r="D861" s="42">
        <v>3</v>
      </c>
      <c r="E861" s="42">
        <v>350</v>
      </c>
      <c r="F861" s="42">
        <v>1050</v>
      </c>
    </row>
    <row r="862" spans="1:6" x14ac:dyDescent="0.3">
      <c r="A862" s="42">
        <v>1050</v>
      </c>
      <c r="B862" s="58" t="s">
        <v>92</v>
      </c>
      <c r="C862" s="42" t="s">
        <v>44</v>
      </c>
      <c r="D862" s="42">
        <v>1</v>
      </c>
      <c r="E862" s="42">
        <v>60</v>
      </c>
      <c r="F862" s="42">
        <v>60</v>
      </c>
    </row>
    <row r="863" spans="1:6" x14ac:dyDescent="0.3">
      <c r="A863" s="42">
        <v>1035</v>
      </c>
      <c r="B863" s="58" t="s">
        <v>76</v>
      </c>
      <c r="C863" s="42" t="s">
        <v>44</v>
      </c>
      <c r="D863" s="42">
        <v>1</v>
      </c>
      <c r="E863" s="42">
        <v>110</v>
      </c>
      <c r="F863" s="42">
        <v>110</v>
      </c>
    </row>
    <row r="864" spans="1:6" x14ac:dyDescent="0.3">
      <c r="A864" s="42">
        <v>1114</v>
      </c>
      <c r="B864" s="58" t="s">
        <v>124</v>
      </c>
      <c r="C864" s="42" t="s">
        <v>111</v>
      </c>
      <c r="D864" s="42">
        <v>3</v>
      </c>
      <c r="E864" s="42">
        <v>450</v>
      </c>
      <c r="F864" s="42">
        <v>1350</v>
      </c>
    </row>
    <row r="865" spans="1:6" x14ac:dyDescent="0.3">
      <c r="A865" s="42"/>
      <c r="B865" s="58">
        <v>44740.711179398146</v>
      </c>
      <c r="C865" s="42" t="s">
        <v>3</v>
      </c>
      <c r="D865" s="42"/>
      <c r="E865" s="42"/>
      <c r="F865" s="42">
        <v>1207</v>
      </c>
    </row>
    <row r="866" spans="1:6" x14ac:dyDescent="0.3">
      <c r="A866" s="42" t="s">
        <v>5</v>
      </c>
      <c r="B866" s="58" t="s">
        <v>6</v>
      </c>
      <c r="C866" s="42" t="s">
        <v>7</v>
      </c>
      <c r="D866" s="42" t="s">
        <v>8</v>
      </c>
      <c r="E866" s="42" t="s">
        <v>9</v>
      </c>
      <c r="F866" s="42" t="s">
        <v>10</v>
      </c>
    </row>
    <row r="867" spans="1:6" x14ac:dyDescent="0.3">
      <c r="A867" s="42">
        <v>1030</v>
      </c>
      <c r="B867" s="58" t="s">
        <v>71</v>
      </c>
      <c r="C867" s="42" t="s">
        <v>44</v>
      </c>
      <c r="D867" s="42">
        <v>12</v>
      </c>
      <c r="E867" s="42">
        <v>100</v>
      </c>
      <c r="F867" s="42">
        <v>1200</v>
      </c>
    </row>
    <row r="868" spans="1:6" x14ac:dyDescent="0.3">
      <c r="A868" s="42">
        <v>1131</v>
      </c>
      <c r="B868" s="58" t="s">
        <v>142</v>
      </c>
      <c r="C868" s="42" t="s">
        <v>111</v>
      </c>
      <c r="D868" s="42">
        <v>1</v>
      </c>
      <c r="E868" s="42">
        <v>350</v>
      </c>
      <c r="F868" s="42">
        <v>350</v>
      </c>
    </row>
    <row r="869" spans="1:6" x14ac:dyDescent="0.3">
      <c r="A869" s="42"/>
      <c r="B869" s="58">
        <v>44740.712324537039</v>
      </c>
      <c r="C869" s="42" t="s">
        <v>3</v>
      </c>
      <c r="D869" s="42"/>
      <c r="E869" s="42"/>
      <c r="F869" s="42">
        <v>1208</v>
      </c>
    </row>
    <row r="870" spans="1:6" x14ac:dyDescent="0.3">
      <c r="A870" s="42" t="s">
        <v>5</v>
      </c>
      <c r="B870" s="58" t="s">
        <v>6</v>
      </c>
      <c r="C870" s="42" t="s">
        <v>7</v>
      </c>
      <c r="D870" s="42" t="s">
        <v>8</v>
      </c>
      <c r="E870" s="42" t="s">
        <v>9</v>
      </c>
      <c r="F870" s="42" t="s">
        <v>10</v>
      </c>
    </row>
    <row r="871" spans="1:6" x14ac:dyDescent="0.3">
      <c r="A871" s="42">
        <v>1021</v>
      </c>
      <c r="B871" s="58" t="s">
        <v>64</v>
      </c>
      <c r="C871" s="42" t="s">
        <v>44</v>
      </c>
      <c r="D871" s="42">
        <v>5</v>
      </c>
      <c r="E871" s="42">
        <v>170</v>
      </c>
      <c r="F871" s="42">
        <v>850</v>
      </c>
    </row>
    <row r="872" spans="1:6" x14ac:dyDescent="0.3">
      <c r="A872" s="42"/>
      <c r="B872" s="58">
        <v>44740.714465856479</v>
      </c>
      <c r="C872" s="42" t="s">
        <v>3</v>
      </c>
      <c r="D872" s="42"/>
      <c r="E872" s="42"/>
      <c r="F872" s="42">
        <v>1209</v>
      </c>
    </row>
    <row r="873" spans="1:6" x14ac:dyDescent="0.3">
      <c r="A873" s="42" t="s">
        <v>5</v>
      </c>
      <c r="B873" s="58" t="s">
        <v>6</v>
      </c>
      <c r="C873" s="42" t="s">
        <v>7</v>
      </c>
      <c r="D873" s="42" t="s">
        <v>8</v>
      </c>
      <c r="E873" s="42" t="s">
        <v>9</v>
      </c>
      <c r="F873" s="42" t="s">
        <v>10</v>
      </c>
    </row>
    <row r="874" spans="1:6" x14ac:dyDescent="0.3">
      <c r="A874" s="42">
        <v>1031</v>
      </c>
      <c r="B874" s="58" t="s">
        <v>72</v>
      </c>
      <c r="C874" s="42" t="s">
        <v>44</v>
      </c>
      <c r="D874" s="42">
        <v>10</v>
      </c>
      <c r="E874" s="42">
        <v>80</v>
      </c>
      <c r="F874" s="42">
        <v>800</v>
      </c>
    </row>
    <row r="875" spans="1:6" x14ac:dyDescent="0.3">
      <c r="A875" s="42"/>
      <c r="B875" s="58">
        <v>44740.715120717592</v>
      </c>
      <c r="C875" s="42" t="s">
        <v>3</v>
      </c>
      <c r="D875" s="42"/>
      <c r="E875" s="42"/>
      <c r="F875" s="42">
        <v>1210</v>
      </c>
    </row>
    <row r="876" spans="1:6" x14ac:dyDescent="0.3">
      <c r="A876" s="42" t="s">
        <v>5</v>
      </c>
      <c r="B876" s="58" t="s">
        <v>6</v>
      </c>
      <c r="C876" s="42" t="s">
        <v>7</v>
      </c>
      <c r="D876" s="42" t="s">
        <v>8</v>
      </c>
      <c r="E876" s="42" t="s">
        <v>9</v>
      </c>
      <c r="F876" s="42" t="s">
        <v>10</v>
      </c>
    </row>
    <row r="877" spans="1:6" x14ac:dyDescent="0.3">
      <c r="A877" s="42">
        <v>1030</v>
      </c>
      <c r="B877" s="58" t="s">
        <v>71</v>
      </c>
      <c r="C877" s="42" t="s">
        <v>44</v>
      </c>
      <c r="D877" s="42">
        <v>30</v>
      </c>
      <c r="E877" s="42">
        <v>100</v>
      </c>
      <c r="F877" s="42">
        <v>3000</v>
      </c>
    </row>
    <row r="878" spans="1:6" x14ac:dyDescent="0.3">
      <c r="A878" s="42"/>
      <c r="B878" s="58">
        <v>44741.399614930553</v>
      </c>
      <c r="C878" s="42" t="s">
        <v>3</v>
      </c>
      <c r="D878" s="42"/>
      <c r="E878" s="42"/>
      <c r="F878" s="42">
        <v>1211</v>
      </c>
    </row>
    <row r="879" spans="1:6" x14ac:dyDescent="0.3">
      <c r="A879" s="42" t="s">
        <v>5</v>
      </c>
      <c r="B879" s="58" t="s">
        <v>6</v>
      </c>
      <c r="C879" s="42" t="s">
        <v>7</v>
      </c>
      <c r="D879" s="42" t="s">
        <v>8</v>
      </c>
      <c r="E879" s="42" t="s">
        <v>9</v>
      </c>
      <c r="F879" s="42" t="s">
        <v>10</v>
      </c>
    </row>
    <row r="880" spans="1:6" x14ac:dyDescent="0.3">
      <c r="A880" s="42">
        <v>1053</v>
      </c>
      <c r="B880" s="58" t="s">
        <v>95</v>
      </c>
      <c r="C880" s="42" t="s">
        <v>44</v>
      </c>
      <c r="D880" s="42">
        <v>2</v>
      </c>
      <c r="E880" s="42">
        <v>150</v>
      </c>
      <c r="F880" s="42">
        <v>300</v>
      </c>
    </row>
    <row r="881" spans="1:6" x14ac:dyDescent="0.3">
      <c r="A881" s="42">
        <v>1055</v>
      </c>
      <c r="B881" s="58" t="s">
        <v>97</v>
      </c>
      <c r="C881" s="42" t="s">
        <v>44</v>
      </c>
      <c r="D881" s="42">
        <v>2</v>
      </c>
      <c r="E881" s="42">
        <v>60</v>
      </c>
      <c r="F881" s="42">
        <v>120</v>
      </c>
    </row>
    <row r="882" spans="1:6" x14ac:dyDescent="0.3">
      <c r="A882" s="42">
        <v>1508</v>
      </c>
      <c r="B882" s="58" t="s">
        <v>212</v>
      </c>
      <c r="C882" s="42" t="s">
        <v>111</v>
      </c>
      <c r="D882" s="42">
        <v>10</v>
      </c>
      <c r="E882" s="42">
        <v>70</v>
      </c>
      <c r="F882" s="42">
        <v>700</v>
      </c>
    </row>
    <row r="883" spans="1:6" x14ac:dyDescent="0.3">
      <c r="A883" s="42">
        <v>1503</v>
      </c>
      <c r="B883" s="58" t="s">
        <v>207</v>
      </c>
      <c r="C883" s="42" t="s">
        <v>111</v>
      </c>
      <c r="D883" s="42">
        <v>3</v>
      </c>
      <c r="E883" s="42">
        <v>50</v>
      </c>
      <c r="F883" s="42">
        <v>150</v>
      </c>
    </row>
    <row r="884" spans="1:6" x14ac:dyDescent="0.3">
      <c r="A884" s="42">
        <v>1504</v>
      </c>
      <c r="B884" s="58" t="s">
        <v>208</v>
      </c>
      <c r="C884" s="42" t="s">
        <v>111</v>
      </c>
      <c r="D884" s="42">
        <v>3</v>
      </c>
      <c r="E884" s="42">
        <v>75</v>
      </c>
      <c r="F884" s="42">
        <v>225</v>
      </c>
    </row>
    <row r="885" spans="1:6" x14ac:dyDescent="0.3">
      <c r="A885" s="42">
        <v>1507</v>
      </c>
      <c r="B885" s="58" t="s">
        <v>211</v>
      </c>
      <c r="C885" s="42" t="s">
        <v>111</v>
      </c>
      <c r="D885" s="42">
        <v>1</v>
      </c>
      <c r="E885" s="42">
        <v>70</v>
      </c>
      <c r="F885" s="42">
        <v>70</v>
      </c>
    </row>
    <row r="886" spans="1:6" x14ac:dyDescent="0.3">
      <c r="A886" s="42"/>
      <c r="B886" s="58">
        <v>44741.433530439812</v>
      </c>
      <c r="C886" s="42" t="s">
        <v>3</v>
      </c>
      <c r="D886" s="42"/>
      <c r="E886" s="42"/>
      <c r="F886" s="42">
        <v>1213</v>
      </c>
    </row>
    <row r="887" spans="1:6" x14ac:dyDescent="0.3">
      <c r="A887" s="42" t="s">
        <v>5</v>
      </c>
      <c r="B887" s="58" t="s">
        <v>6</v>
      </c>
      <c r="C887" s="42" t="s">
        <v>7</v>
      </c>
      <c r="D887" s="42" t="s">
        <v>8</v>
      </c>
      <c r="E887" s="42" t="s">
        <v>9</v>
      </c>
      <c r="F887" s="42" t="s">
        <v>10</v>
      </c>
    </row>
    <row r="888" spans="1:6" x14ac:dyDescent="0.3">
      <c r="A888" s="42">
        <v>1035</v>
      </c>
      <c r="B888" s="58" t="s">
        <v>76</v>
      </c>
      <c r="C888" s="42" t="s">
        <v>44</v>
      </c>
      <c r="D888" s="42">
        <v>2</v>
      </c>
      <c r="E888" s="42">
        <v>110</v>
      </c>
      <c r="F888" s="42">
        <v>220</v>
      </c>
    </row>
    <row r="889" spans="1:6" x14ac:dyDescent="0.3">
      <c r="A889" s="42">
        <v>1036</v>
      </c>
      <c r="B889" s="58" t="s">
        <v>77</v>
      </c>
      <c r="C889" s="42" t="s">
        <v>44</v>
      </c>
      <c r="D889" s="42">
        <v>6</v>
      </c>
      <c r="E889" s="42">
        <v>10</v>
      </c>
      <c r="F889" s="42">
        <v>60</v>
      </c>
    </row>
    <row r="890" spans="1:6" x14ac:dyDescent="0.3">
      <c r="A890" s="42"/>
      <c r="B890" s="58">
        <v>44741.43898958333</v>
      </c>
      <c r="C890" s="42" t="s">
        <v>3</v>
      </c>
      <c r="D890" s="42"/>
      <c r="E890" s="42"/>
      <c r="F890" s="42">
        <v>1191</v>
      </c>
    </row>
    <row r="891" spans="1:6" x14ac:dyDescent="0.3">
      <c r="A891" s="42" t="s">
        <v>5</v>
      </c>
      <c r="B891" s="58" t="s">
        <v>6</v>
      </c>
      <c r="C891" s="42" t="s">
        <v>7</v>
      </c>
      <c r="D891" s="42" t="s">
        <v>8</v>
      </c>
      <c r="E891" s="42" t="s">
        <v>9</v>
      </c>
      <c r="F891" s="42" t="s">
        <v>10</v>
      </c>
    </row>
    <row r="892" spans="1:6" x14ac:dyDescent="0.3">
      <c r="A892" s="42">
        <v>1021</v>
      </c>
      <c r="B892" s="58" t="s">
        <v>64</v>
      </c>
      <c r="C892" s="42" t="s">
        <v>44</v>
      </c>
      <c r="D892" s="42">
        <v>10</v>
      </c>
      <c r="E892" s="42">
        <v>170</v>
      </c>
      <c r="F892" s="42">
        <v>1700</v>
      </c>
    </row>
    <row r="893" spans="1:6" x14ac:dyDescent="0.3">
      <c r="A893" s="42">
        <v>1026</v>
      </c>
      <c r="B893" s="58" t="s">
        <v>67</v>
      </c>
      <c r="C893" s="42" t="s">
        <v>44</v>
      </c>
      <c r="D893" s="42">
        <v>10</v>
      </c>
      <c r="E893" s="42">
        <v>60</v>
      </c>
      <c r="F893" s="42">
        <v>600</v>
      </c>
    </row>
    <row r="894" spans="1:6" x14ac:dyDescent="0.3">
      <c r="A894" s="42">
        <v>1029</v>
      </c>
      <c r="B894" s="58" t="s">
        <v>70</v>
      </c>
      <c r="C894" s="42" t="s">
        <v>44</v>
      </c>
      <c r="D894" s="42">
        <v>16</v>
      </c>
      <c r="E894" s="42">
        <v>40</v>
      </c>
      <c r="F894" s="42">
        <v>640</v>
      </c>
    </row>
    <row r="895" spans="1:6" x14ac:dyDescent="0.3">
      <c r="A895" s="42">
        <v>1030</v>
      </c>
      <c r="B895" s="58" t="s">
        <v>71</v>
      </c>
      <c r="C895" s="42" t="s">
        <v>44</v>
      </c>
      <c r="D895" s="42">
        <v>80</v>
      </c>
      <c r="E895" s="42">
        <v>100</v>
      </c>
      <c r="F895" s="42">
        <v>8000</v>
      </c>
    </row>
    <row r="896" spans="1:6" x14ac:dyDescent="0.3">
      <c r="A896" s="42">
        <v>1036</v>
      </c>
      <c r="B896" s="58" t="s">
        <v>77</v>
      </c>
      <c r="C896" s="42" t="s">
        <v>44</v>
      </c>
      <c r="D896" s="42">
        <v>6</v>
      </c>
      <c r="E896" s="42">
        <v>10</v>
      </c>
      <c r="F896" s="42">
        <v>60</v>
      </c>
    </row>
    <row r="897" spans="1:6" x14ac:dyDescent="0.3">
      <c r="A897" s="42">
        <v>1037</v>
      </c>
      <c r="B897" s="58" t="s">
        <v>78</v>
      </c>
      <c r="C897" s="42" t="s">
        <v>79</v>
      </c>
      <c r="D897" s="42">
        <v>6</v>
      </c>
      <c r="E897" s="42">
        <v>50</v>
      </c>
      <c r="F897" s="42">
        <v>300</v>
      </c>
    </row>
    <row r="898" spans="1:6" x14ac:dyDescent="0.3">
      <c r="A898" s="42">
        <v>1038</v>
      </c>
      <c r="B898" s="58" t="s">
        <v>80</v>
      </c>
      <c r="C898" s="42" t="s">
        <v>44</v>
      </c>
      <c r="D898" s="42">
        <v>10</v>
      </c>
      <c r="E898" s="42">
        <v>10</v>
      </c>
      <c r="F898" s="42">
        <v>100</v>
      </c>
    </row>
    <row r="899" spans="1:6" x14ac:dyDescent="0.3">
      <c r="A899" s="42">
        <v>1050</v>
      </c>
      <c r="B899" s="58" t="s">
        <v>92</v>
      </c>
      <c r="C899" s="42" t="s">
        <v>44</v>
      </c>
      <c r="D899" s="42">
        <v>6</v>
      </c>
      <c r="E899" s="42">
        <v>60</v>
      </c>
      <c r="F899" s="42">
        <v>360</v>
      </c>
    </row>
    <row r="900" spans="1:6" x14ac:dyDescent="0.3">
      <c r="A900" s="42">
        <v>1101</v>
      </c>
      <c r="B900" s="58" t="s">
        <v>110</v>
      </c>
      <c r="C900" s="42" t="s">
        <v>111</v>
      </c>
      <c r="D900" s="42">
        <v>20</v>
      </c>
      <c r="E900" s="42">
        <v>125</v>
      </c>
      <c r="F900" s="42">
        <v>2500</v>
      </c>
    </row>
    <row r="901" spans="1:6" x14ac:dyDescent="0.3">
      <c r="A901" s="42">
        <v>1103</v>
      </c>
      <c r="B901" s="58" t="s">
        <v>113</v>
      </c>
      <c r="C901" s="42" t="s">
        <v>111</v>
      </c>
      <c r="D901" s="42">
        <v>10</v>
      </c>
      <c r="E901" s="42">
        <v>30</v>
      </c>
      <c r="F901" s="42">
        <v>300</v>
      </c>
    </row>
    <row r="902" spans="1:6" x14ac:dyDescent="0.3">
      <c r="A902" s="42">
        <v>1106</v>
      </c>
      <c r="B902" s="58" t="s">
        <v>116</v>
      </c>
      <c r="C902" s="42" t="s">
        <v>111</v>
      </c>
      <c r="D902" s="42">
        <v>5</v>
      </c>
      <c r="E902" s="42">
        <v>45</v>
      </c>
      <c r="F902" s="42">
        <v>225</v>
      </c>
    </row>
    <row r="903" spans="1:6" x14ac:dyDescent="0.3">
      <c r="A903" s="42">
        <v>1108</v>
      </c>
      <c r="B903" s="58" t="s">
        <v>118</v>
      </c>
      <c r="C903" s="42" t="s">
        <v>111</v>
      </c>
      <c r="D903" s="42">
        <v>4</v>
      </c>
      <c r="E903" s="42">
        <v>5</v>
      </c>
      <c r="F903" s="42">
        <v>20</v>
      </c>
    </row>
    <row r="904" spans="1:6" x14ac:dyDescent="0.3">
      <c r="A904" s="42">
        <v>1113</v>
      </c>
      <c r="B904" s="58" t="s">
        <v>123</v>
      </c>
      <c r="C904" s="42" t="s">
        <v>111</v>
      </c>
      <c r="D904" s="42">
        <v>4</v>
      </c>
      <c r="E904" s="42">
        <v>1000</v>
      </c>
      <c r="F904" s="42">
        <v>4000</v>
      </c>
    </row>
    <row r="905" spans="1:6" x14ac:dyDescent="0.3">
      <c r="A905" s="42">
        <v>1114</v>
      </c>
      <c r="B905" s="58" t="s">
        <v>124</v>
      </c>
      <c r="C905" s="42" t="s">
        <v>111</v>
      </c>
      <c r="D905" s="42">
        <v>6</v>
      </c>
      <c r="E905" s="42">
        <v>450</v>
      </c>
      <c r="F905" s="42">
        <v>2700</v>
      </c>
    </row>
    <row r="906" spans="1:6" x14ac:dyDescent="0.3">
      <c r="A906" s="42">
        <v>1134</v>
      </c>
      <c r="B906" s="58" t="s">
        <v>145</v>
      </c>
      <c r="C906" s="42" t="s">
        <v>111</v>
      </c>
      <c r="D906" s="42">
        <v>1</v>
      </c>
      <c r="E906" s="42">
        <v>150</v>
      </c>
      <c r="F906" s="42">
        <v>150</v>
      </c>
    </row>
    <row r="907" spans="1:6" x14ac:dyDescent="0.3">
      <c r="A907" s="42">
        <v>1422</v>
      </c>
      <c r="B907" s="58" t="s">
        <v>195</v>
      </c>
      <c r="C907" s="42" t="s">
        <v>111</v>
      </c>
      <c r="D907" s="42">
        <v>1</v>
      </c>
      <c r="E907" s="42">
        <v>150</v>
      </c>
      <c r="F907" s="42">
        <v>150</v>
      </c>
    </row>
    <row r="908" spans="1:6" x14ac:dyDescent="0.3">
      <c r="A908" s="42">
        <v>1066</v>
      </c>
      <c r="B908" s="58" t="s">
        <v>108</v>
      </c>
      <c r="C908" s="42" t="s">
        <v>44</v>
      </c>
      <c r="D908" s="42">
        <v>1</v>
      </c>
      <c r="E908" s="42">
        <v>150</v>
      </c>
      <c r="F908" s="42">
        <v>150</v>
      </c>
    </row>
    <row r="909" spans="1:6" x14ac:dyDescent="0.3">
      <c r="A909" s="42">
        <v>1310</v>
      </c>
      <c r="B909" s="58" t="s">
        <v>161</v>
      </c>
      <c r="C909" s="42" t="s">
        <v>111</v>
      </c>
      <c r="D909" s="42">
        <v>1</v>
      </c>
      <c r="E909" s="42">
        <v>320</v>
      </c>
      <c r="F909" s="42">
        <v>320</v>
      </c>
    </row>
    <row r="910" spans="1:6" x14ac:dyDescent="0.3">
      <c r="A910" s="42">
        <v>1311</v>
      </c>
      <c r="B910" s="58" t="s">
        <v>162</v>
      </c>
      <c r="C910" s="42" t="s">
        <v>111</v>
      </c>
      <c r="D910" s="42">
        <v>1</v>
      </c>
      <c r="E910" s="42">
        <v>270</v>
      </c>
      <c r="F910" s="42">
        <v>270</v>
      </c>
    </row>
    <row r="911" spans="1:6" x14ac:dyDescent="0.3">
      <c r="A911" s="42">
        <v>1059</v>
      </c>
      <c r="B911" s="58" t="s">
        <v>101</v>
      </c>
      <c r="C911" s="42" t="s">
        <v>44</v>
      </c>
      <c r="D911" s="42">
        <v>4</v>
      </c>
      <c r="E911" s="42">
        <v>100</v>
      </c>
      <c r="F911" s="42">
        <v>400</v>
      </c>
    </row>
    <row r="912" spans="1:6" x14ac:dyDescent="0.3">
      <c r="A912" s="42"/>
      <c r="B912" s="58">
        <v>44741.44060115741</v>
      </c>
      <c r="C912" s="42" t="s">
        <v>3</v>
      </c>
      <c r="D912" s="42"/>
      <c r="E912" s="42"/>
      <c r="F912" s="42">
        <v>1214</v>
      </c>
    </row>
    <row r="913" spans="1:6" x14ac:dyDescent="0.3">
      <c r="A913" s="42" t="s">
        <v>5</v>
      </c>
      <c r="B913" s="58" t="s">
        <v>6</v>
      </c>
      <c r="C913" s="42" t="s">
        <v>7</v>
      </c>
      <c r="D913" s="42" t="s">
        <v>8</v>
      </c>
      <c r="E913" s="42" t="s">
        <v>9</v>
      </c>
      <c r="F913" s="42" t="s">
        <v>10</v>
      </c>
    </row>
    <row r="914" spans="1:6" x14ac:dyDescent="0.3">
      <c r="A914" s="42">
        <v>1414</v>
      </c>
      <c r="B914" s="58" t="s">
        <v>187</v>
      </c>
      <c r="C914" s="42" t="s">
        <v>111</v>
      </c>
      <c r="D914" s="42">
        <v>1</v>
      </c>
      <c r="E914" s="42">
        <v>170</v>
      </c>
      <c r="F914" s="42">
        <v>170</v>
      </c>
    </row>
    <row r="915" spans="1:6" x14ac:dyDescent="0.3">
      <c r="A915" s="42">
        <v>1010</v>
      </c>
      <c r="B915" s="58" t="s">
        <v>53</v>
      </c>
      <c r="C915" s="42" t="s">
        <v>44</v>
      </c>
      <c r="D915" s="42">
        <v>1</v>
      </c>
      <c r="E915" s="42">
        <v>3600</v>
      </c>
      <c r="F915" s="42">
        <v>3600</v>
      </c>
    </row>
    <row r="916" spans="1:6" x14ac:dyDescent="0.3">
      <c r="A916" s="42">
        <v>1007</v>
      </c>
      <c r="B916" s="58" t="s">
        <v>50</v>
      </c>
      <c r="C916" s="42" t="s">
        <v>44</v>
      </c>
      <c r="D916" s="42">
        <v>2</v>
      </c>
      <c r="E916" s="42">
        <v>2860</v>
      </c>
      <c r="F916" s="42">
        <v>5720</v>
      </c>
    </row>
    <row r="917" spans="1:6" x14ac:dyDescent="0.3">
      <c r="A917" s="42"/>
      <c r="B917" s="58">
        <v>44741.443292708333</v>
      </c>
      <c r="C917" s="42" t="s">
        <v>3</v>
      </c>
      <c r="D917" s="42"/>
      <c r="E917" s="42"/>
      <c r="F917" s="42">
        <v>1215</v>
      </c>
    </row>
    <row r="918" spans="1:6" x14ac:dyDescent="0.3">
      <c r="A918" s="42" t="s">
        <v>5</v>
      </c>
      <c r="B918" s="58" t="s">
        <v>6</v>
      </c>
      <c r="C918" s="42" t="s">
        <v>7</v>
      </c>
      <c r="D918" s="42" t="s">
        <v>8</v>
      </c>
      <c r="E918" s="42" t="s">
        <v>9</v>
      </c>
      <c r="F918" s="42" t="s">
        <v>10</v>
      </c>
    </row>
    <row r="919" spans="1:6" x14ac:dyDescent="0.3">
      <c r="A919" s="42">
        <v>1053</v>
      </c>
      <c r="B919" s="58" t="s">
        <v>95</v>
      </c>
      <c r="C919" s="42" t="s">
        <v>44</v>
      </c>
      <c r="D919" s="42">
        <v>1</v>
      </c>
      <c r="E919" s="42">
        <v>150</v>
      </c>
      <c r="F919" s="42">
        <v>150</v>
      </c>
    </row>
    <row r="920" spans="1:6" x14ac:dyDescent="0.3">
      <c r="A920" s="42">
        <v>1059</v>
      </c>
      <c r="B920" s="58" t="s">
        <v>101</v>
      </c>
      <c r="C920" s="42" t="s">
        <v>44</v>
      </c>
      <c r="D920" s="42">
        <v>2</v>
      </c>
      <c r="E920" s="42">
        <v>100</v>
      </c>
      <c r="F920" s="42">
        <v>200</v>
      </c>
    </row>
    <row r="921" spans="1:6" x14ac:dyDescent="0.3">
      <c r="A921" s="42"/>
      <c r="B921" s="58">
        <v>44741.459668402778</v>
      </c>
      <c r="C921" s="42" t="s">
        <v>3</v>
      </c>
      <c r="D921" s="42"/>
      <c r="E921" s="42"/>
      <c r="F921" s="42">
        <v>1216</v>
      </c>
    </row>
    <row r="922" spans="1:6" x14ac:dyDescent="0.3">
      <c r="A922" s="42" t="s">
        <v>5</v>
      </c>
      <c r="B922" s="58" t="s">
        <v>6</v>
      </c>
      <c r="C922" s="42" t="s">
        <v>7</v>
      </c>
      <c r="D922" s="42" t="s">
        <v>8</v>
      </c>
      <c r="E922" s="42" t="s">
        <v>9</v>
      </c>
      <c r="F922" s="42" t="s">
        <v>10</v>
      </c>
    </row>
    <row r="923" spans="1:6" x14ac:dyDescent="0.3">
      <c r="A923" s="42">
        <v>1106</v>
      </c>
      <c r="B923" s="58" t="s">
        <v>116</v>
      </c>
      <c r="C923" s="42" t="s">
        <v>111</v>
      </c>
      <c r="D923" s="42">
        <v>6</v>
      </c>
      <c r="E923" s="42">
        <v>45</v>
      </c>
      <c r="F923" s="42">
        <v>270</v>
      </c>
    </row>
    <row r="924" spans="1:6" x14ac:dyDescent="0.3">
      <c r="A924" s="42"/>
      <c r="B924" s="58">
        <v>44741.460158449074</v>
      </c>
      <c r="C924" s="42" t="s">
        <v>3</v>
      </c>
      <c r="D924" s="42"/>
      <c r="E924" s="42"/>
      <c r="F924" s="42">
        <v>1217</v>
      </c>
    </row>
    <row r="925" spans="1:6" x14ac:dyDescent="0.3">
      <c r="A925" s="42" t="s">
        <v>5</v>
      </c>
      <c r="B925" s="58" t="s">
        <v>6</v>
      </c>
      <c r="C925" s="42" t="s">
        <v>7</v>
      </c>
      <c r="D925" s="42" t="s">
        <v>8</v>
      </c>
      <c r="E925" s="42" t="s">
        <v>9</v>
      </c>
      <c r="F925" s="42" t="s">
        <v>10</v>
      </c>
    </row>
    <row r="926" spans="1:6" x14ac:dyDescent="0.3">
      <c r="A926" s="42">
        <v>1047</v>
      </c>
      <c r="B926" s="58" t="s">
        <v>89</v>
      </c>
      <c r="C926" s="42" t="s">
        <v>44</v>
      </c>
      <c r="D926" s="42">
        <v>1</v>
      </c>
      <c r="E926" s="42">
        <v>125</v>
      </c>
      <c r="F926" s="42">
        <v>125</v>
      </c>
    </row>
    <row r="927" spans="1:6" x14ac:dyDescent="0.3">
      <c r="A927" s="42">
        <v>1046</v>
      </c>
      <c r="B927" s="58" t="s">
        <v>88</v>
      </c>
      <c r="C927" s="42" t="s">
        <v>44</v>
      </c>
      <c r="D927" s="42">
        <v>1</v>
      </c>
      <c r="E927" s="42">
        <v>125</v>
      </c>
      <c r="F927" s="42">
        <v>125</v>
      </c>
    </row>
    <row r="928" spans="1:6" x14ac:dyDescent="0.3">
      <c r="A928" s="42"/>
      <c r="B928" s="58">
        <v>44741.460467824072</v>
      </c>
      <c r="C928" s="42" t="s">
        <v>3</v>
      </c>
      <c r="D928" s="42"/>
      <c r="E928" s="42"/>
      <c r="F928" s="42">
        <v>1218</v>
      </c>
    </row>
    <row r="929" spans="1:6" x14ac:dyDescent="0.3">
      <c r="A929" s="42" t="s">
        <v>5</v>
      </c>
      <c r="B929" s="58" t="s">
        <v>6</v>
      </c>
      <c r="C929" s="42" t="s">
        <v>7</v>
      </c>
      <c r="D929" s="42" t="s">
        <v>8</v>
      </c>
      <c r="E929" s="42" t="s">
        <v>9</v>
      </c>
      <c r="F929" s="42" t="s">
        <v>10</v>
      </c>
    </row>
    <row r="930" spans="1:6" x14ac:dyDescent="0.3">
      <c r="A930" s="42">
        <v>1047</v>
      </c>
      <c r="B930" s="58" t="s">
        <v>89</v>
      </c>
      <c r="C930" s="42" t="s">
        <v>44</v>
      </c>
      <c r="D930" s="42">
        <v>2</v>
      </c>
      <c r="E930" s="42">
        <v>125</v>
      </c>
      <c r="F930" s="42">
        <v>250</v>
      </c>
    </row>
    <row r="931" spans="1:6" x14ac:dyDescent="0.3">
      <c r="A931" s="42">
        <v>1046</v>
      </c>
      <c r="B931" s="58" t="s">
        <v>88</v>
      </c>
      <c r="C931" s="42" t="s">
        <v>44</v>
      </c>
      <c r="D931" s="42">
        <v>2</v>
      </c>
      <c r="E931" s="42">
        <v>125</v>
      </c>
      <c r="F931" s="42">
        <v>250</v>
      </c>
    </row>
    <row r="932" spans="1:6" x14ac:dyDescent="0.3">
      <c r="A932" s="42"/>
      <c r="B932" s="58">
        <v>44741.461181134262</v>
      </c>
      <c r="C932" s="42" t="s">
        <v>3</v>
      </c>
      <c r="D932" s="42"/>
      <c r="E932" s="42"/>
      <c r="F932" s="42">
        <v>1219</v>
      </c>
    </row>
    <row r="933" spans="1:6" x14ac:dyDescent="0.3">
      <c r="A933" s="42" t="s">
        <v>5</v>
      </c>
      <c r="B933" s="58" t="s">
        <v>6</v>
      </c>
      <c r="C933" s="42" t="s">
        <v>7</v>
      </c>
      <c r="D933" s="42" t="s">
        <v>8</v>
      </c>
      <c r="E933" s="42" t="s">
        <v>9</v>
      </c>
      <c r="F933" s="42" t="s">
        <v>10</v>
      </c>
    </row>
    <row r="934" spans="1:6" x14ac:dyDescent="0.3">
      <c r="A934" s="42">
        <v>1047</v>
      </c>
      <c r="B934" s="58" t="s">
        <v>89</v>
      </c>
      <c r="C934" s="42" t="s">
        <v>44</v>
      </c>
      <c r="D934" s="42">
        <v>2</v>
      </c>
      <c r="E934" s="42">
        <v>125</v>
      </c>
      <c r="F934" s="42">
        <v>250</v>
      </c>
    </row>
    <row r="935" spans="1:6" x14ac:dyDescent="0.3">
      <c r="A935" s="42">
        <v>1046</v>
      </c>
      <c r="B935" s="58" t="s">
        <v>88</v>
      </c>
      <c r="C935" s="42" t="s">
        <v>44</v>
      </c>
      <c r="D935" s="42">
        <v>2</v>
      </c>
      <c r="E935" s="42">
        <v>125</v>
      </c>
      <c r="F935" s="42">
        <v>250</v>
      </c>
    </row>
    <row r="936" spans="1:6" x14ac:dyDescent="0.3">
      <c r="A936" s="42"/>
      <c r="B936" s="58">
        <v>44741.488594560185</v>
      </c>
      <c r="C936" s="42" t="s">
        <v>3</v>
      </c>
      <c r="D936" s="42"/>
      <c r="E936" s="42"/>
      <c r="F936" s="42">
        <v>1220</v>
      </c>
    </row>
    <row r="937" spans="1:6" x14ac:dyDescent="0.3">
      <c r="A937" s="42" t="s">
        <v>5</v>
      </c>
      <c r="B937" s="58" t="s">
        <v>6</v>
      </c>
      <c r="C937" s="42" t="s">
        <v>7</v>
      </c>
      <c r="D937" s="42" t="s">
        <v>8</v>
      </c>
      <c r="E937" s="42" t="s">
        <v>9</v>
      </c>
      <c r="F937" s="42" t="s">
        <v>10</v>
      </c>
    </row>
    <row r="938" spans="1:6" x14ac:dyDescent="0.3">
      <c r="A938" s="42">
        <v>1031</v>
      </c>
      <c r="B938" s="58" t="s">
        <v>72</v>
      </c>
      <c r="C938" s="42" t="s">
        <v>44</v>
      </c>
      <c r="D938" s="42">
        <v>24</v>
      </c>
      <c r="E938" s="42">
        <v>80</v>
      </c>
      <c r="F938" s="42">
        <v>1920</v>
      </c>
    </row>
    <row r="939" spans="1:6" x14ac:dyDescent="0.3">
      <c r="A939" s="42"/>
      <c r="B939" s="58">
        <v>44741.649494675927</v>
      </c>
      <c r="C939" s="42" t="s">
        <v>3</v>
      </c>
      <c r="D939" s="42"/>
      <c r="E939" s="42"/>
      <c r="F939" s="42">
        <v>1222</v>
      </c>
    </row>
    <row r="940" spans="1:6" x14ac:dyDescent="0.3">
      <c r="A940" s="42" t="s">
        <v>5</v>
      </c>
      <c r="B940" s="58" t="s">
        <v>6</v>
      </c>
      <c r="C940" s="42" t="s">
        <v>7</v>
      </c>
      <c r="D940" s="42" t="s">
        <v>8</v>
      </c>
      <c r="E940" s="42" t="s">
        <v>9</v>
      </c>
      <c r="F940" s="42" t="s">
        <v>10</v>
      </c>
    </row>
    <row r="941" spans="1:6" x14ac:dyDescent="0.3">
      <c r="A941" s="42">
        <v>1033</v>
      </c>
      <c r="B941" s="58" t="s">
        <v>74</v>
      </c>
      <c r="C941" s="42" t="s">
        <v>44</v>
      </c>
      <c r="D941" s="42">
        <v>2</v>
      </c>
      <c r="E941" s="42">
        <v>180</v>
      </c>
      <c r="F941" s="42">
        <v>360</v>
      </c>
    </row>
    <row r="942" spans="1:6" x14ac:dyDescent="0.3">
      <c r="A942" s="42">
        <v>1034</v>
      </c>
      <c r="B942" s="58" t="s">
        <v>75</v>
      </c>
      <c r="C942" s="42" t="s">
        <v>44</v>
      </c>
      <c r="D942" s="42">
        <v>2</v>
      </c>
      <c r="E942" s="42">
        <v>120</v>
      </c>
      <c r="F942" s="42">
        <v>240</v>
      </c>
    </row>
    <row r="943" spans="1:6" x14ac:dyDescent="0.3">
      <c r="A943" s="42">
        <v>1037</v>
      </c>
      <c r="B943" s="58" t="s">
        <v>78</v>
      </c>
      <c r="C943" s="42" t="s">
        <v>79</v>
      </c>
      <c r="D943" s="42">
        <v>3</v>
      </c>
      <c r="E943" s="42">
        <v>50</v>
      </c>
      <c r="F943" s="42">
        <v>150</v>
      </c>
    </row>
    <row r="944" spans="1:6" x14ac:dyDescent="0.3">
      <c r="A944" s="42">
        <v>1036</v>
      </c>
      <c r="B944" s="58" t="s">
        <v>77</v>
      </c>
      <c r="C944" s="42" t="s">
        <v>44</v>
      </c>
      <c r="D944" s="42">
        <v>2</v>
      </c>
      <c r="E944" s="42">
        <v>10</v>
      </c>
      <c r="F944" s="42">
        <v>20</v>
      </c>
    </row>
    <row r="945" spans="1:6" x14ac:dyDescent="0.3">
      <c r="A945" s="42">
        <v>1101</v>
      </c>
      <c r="B945" s="58" t="s">
        <v>110</v>
      </c>
      <c r="C945" s="42" t="s">
        <v>111</v>
      </c>
      <c r="D945" s="42">
        <v>3</v>
      </c>
      <c r="E945" s="42">
        <v>125</v>
      </c>
      <c r="F945" s="42">
        <v>375</v>
      </c>
    </row>
    <row r="946" spans="1:6" x14ac:dyDescent="0.3">
      <c r="A946" s="42">
        <v>1103</v>
      </c>
      <c r="B946" s="58" t="s">
        <v>113</v>
      </c>
      <c r="C946" s="42" t="s">
        <v>111</v>
      </c>
      <c r="D946" s="42">
        <v>3</v>
      </c>
      <c r="E946" s="42">
        <v>30</v>
      </c>
      <c r="F946" s="42">
        <v>90</v>
      </c>
    </row>
    <row r="947" spans="1:6" x14ac:dyDescent="0.3">
      <c r="A947" s="42">
        <v>1024</v>
      </c>
      <c r="B947" s="58" t="s">
        <v>13</v>
      </c>
      <c r="C947" s="42" t="s">
        <v>44</v>
      </c>
      <c r="D947" s="42">
        <v>2</v>
      </c>
      <c r="E947" s="42">
        <v>100</v>
      </c>
      <c r="F947" s="42">
        <v>200</v>
      </c>
    </row>
    <row r="948" spans="1:6" x14ac:dyDescent="0.3">
      <c r="A948" s="42">
        <v>1027</v>
      </c>
      <c r="B948" s="58" t="s">
        <v>68</v>
      </c>
      <c r="C948" s="42" t="s">
        <v>44</v>
      </c>
      <c r="D948" s="42">
        <v>2</v>
      </c>
      <c r="E948" s="42">
        <v>20</v>
      </c>
      <c r="F948" s="42">
        <v>40</v>
      </c>
    </row>
    <row r="949" spans="1:6" x14ac:dyDescent="0.3">
      <c r="A949" s="42"/>
      <c r="B949" s="58">
        <v>44741.650113310185</v>
      </c>
      <c r="C949" s="42" t="s">
        <v>3</v>
      </c>
      <c r="D949" s="42"/>
      <c r="E949" s="42"/>
      <c r="F949" s="42">
        <v>1223</v>
      </c>
    </row>
    <row r="950" spans="1:6" x14ac:dyDescent="0.3">
      <c r="A950" s="42" t="s">
        <v>5</v>
      </c>
      <c r="B950" s="58" t="s">
        <v>6</v>
      </c>
      <c r="C950" s="42" t="s">
        <v>7</v>
      </c>
      <c r="D950" s="42" t="s">
        <v>8</v>
      </c>
      <c r="E950" s="42" t="s">
        <v>9</v>
      </c>
      <c r="F950" s="42" t="s">
        <v>10</v>
      </c>
    </row>
    <row r="951" spans="1:6" x14ac:dyDescent="0.3">
      <c r="A951" s="42">
        <v>1117</v>
      </c>
      <c r="B951" s="58" t="s">
        <v>127</v>
      </c>
      <c r="C951" s="42" t="s">
        <v>111</v>
      </c>
      <c r="D951" s="42">
        <v>1</v>
      </c>
      <c r="E951" s="42">
        <v>1600</v>
      </c>
      <c r="F951" s="42">
        <v>1600</v>
      </c>
    </row>
    <row r="952" spans="1:6" x14ac:dyDescent="0.3">
      <c r="A952" s="42"/>
      <c r="B952" s="58">
        <v>44741.699023958332</v>
      </c>
      <c r="C952" s="42" t="s">
        <v>3</v>
      </c>
      <c r="D952" s="42"/>
      <c r="E952" s="42"/>
      <c r="F952" s="42">
        <v>1221</v>
      </c>
    </row>
    <row r="953" spans="1:6" x14ac:dyDescent="0.3">
      <c r="A953" s="42" t="s">
        <v>5</v>
      </c>
      <c r="B953" s="58" t="s">
        <v>6</v>
      </c>
      <c r="C953" s="42" t="s">
        <v>7</v>
      </c>
      <c r="D953" s="42" t="s">
        <v>8</v>
      </c>
      <c r="E953" s="42" t="s">
        <v>9</v>
      </c>
      <c r="F953" s="42" t="s">
        <v>10</v>
      </c>
    </row>
    <row r="954" spans="1:6" x14ac:dyDescent="0.3">
      <c r="A954" s="42">
        <v>1502</v>
      </c>
      <c r="B954" s="58" t="s">
        <v>206</v>
      </c>
      <c r="C954" s="42" t="s">
        <v>111</v>
      </c>
      <c r="D954" s="42">
        <v>3</v>
      </c>
      <c r="E954" s="42">
        <v>75</v>
      </c>
      <c r="F954" s="42">
        <v>225</v>
      </c>
    </row>
    <row r="955" spans="1:6" x14ac:dyDescent="0.3">
      <c r="A955" s="42">
        <v>1503</v>
      </c>
      <c r="B955" s="58" t="s">
        <v>207</v>
      </c>
      <c r="C955" s="42" t="s">
        <v>111</v>
      </c>
      <c r="D955" s="42">
        <v>4</v>
      </c>
      <c r="E955" s="42">
        <v>50</v>
      </c>
      <c r="F955" s="42">
        <v>200</v>
      </c>
    </row>
    <row r="956" spans="1:6" x14ac:dyDescent="0.3">
      <c r="A956" s="42">
        <v>1504</v>
      </c>
      <c r="B956" s="58" t="s">
        <v>208</v>
      </c>
      <c r="C956" s="42" t="s">
        <v>111</v>
      </c>
      <c r="D956" s="42">
        <v>5</v>
      </c>
      <c r="E956" s="42">
        <v>75</v>
      </c>
      <c r="F956" s="42">
        <v>375</v>
      </c>
    </row>
    <row r="957" spans="1:6" x14ac:dyDescent="0.3">
      <c r="A957" s="42">
        <v>1506</v>
      </c>
      <c r="B957" s="58" t="s">
        <v>209</v>
      </c>
      <c r="C957" s="42" t="s">
        <v>111</v>
      </c>
      <c r="D957" s="42">
        <v>15</v>
      </c>
      <c r="E957" s="42">
        <v>60</v>
      </c>
      <c r="F957" s="42">
        <v>900</v>
      </c>
    </row>
    <row r="958" spans="1:6" x14ac:dyDescent="0.3">
      <c r="A958" s="42">
        <v>1509</v>
      </c>
      <c r="B958" s="58" t="s">
        <v>213</v>
      </c>
      <c r="C958" s="42" t="s">
        <v>111</v>
      </c>
      <c r="D958" s="42">
        <v>1</v>
      </c>
      <c r="E958" s="42">
        <v>80</v>
      </c>
      <c r="F958" s="42">
        <v>80</v>
      </c>
    </row>
    <row r="959" spans="1:6" x14ac:dyDescent="0.3">
      <c r="A959" s="42">
        <v>1107</v>
      </c>
      <c r="B959" s="58" t="s">
        <v>117</v>
      </c>
      <c r="C959" s="42" t="s">
        <v>111</v>
      </c>
      <c r="D959" s="42">
        <v>12</v>
      </c>
      <c r="E959" s="42">
        <v>15</v>
      </c>
      <c r="F959" s="42">
        <v>180</v>
      </c>
    </row>
    <row r="960" spans="1:6" x14ac:dyDescent="0.3">
      <c r="A960" s="42">
        <v>1512</v>
      </c>
      <c r="B960" s="58" t="s">
        <v>216</v>
      </c>
      <c r="C960" s="42" t="s">
        <v>217</v>
      </c>
      <c r="D960" s="42">
        <v>1</v>
      </c>
      <c r="E960" s="42">
        <v>120</v>
      </c>
      <c r="F960" s="42">
        <v>120</v>
      </c>
    </row>
    <row r="961" spans="1:6" x14ac:dyDescent="0.3">
      <c r="A961" s="42"/>
      <c r="B961" s="58">
        <v>44742.425203935185</v>
      </c>
      <c r="C961" s="42" t="s">
        <v>3</v>
      </c>
      <c r="D961" s="42"/>
      <c r="E961" s="42"/>
      <c r="F961" s="42">
        <v>1212</v>
      </c>
    </row>
    <row r="962" spans="1:6" x14ac:dyDescent="0.3">
      <c r="A962" s="42" t="s">
        <v>5</v>
      </c>
      <c r="B962" s="58" t="s">
        <v>6</v>
      </c>
      <c r="C962" s="42" t="s">
        <v>7</v>
      </c>
      <c r="D962" s="42" t="s">
        <v>8</v>
      </c>
      <c r="E962" s="42" t="s">
        <v>9</v>
      </c>
      <c r="F962" s="42" t="s">
        <v>10</v>
      </c>
    </row>
    <row r="963" spans="1:6" x14ac:dyDescent="0.3">
      <c r="A963" s="42">
        <v>1006</v>
      </c>
      <c r="B963" s="58" t="s">
        <v>49</v>
      </c>
      <c r="C963" s="42" t="s">
        <v>44</v>
      </c>
      <c r="D963" s="42">
        <v>1</v>
      </c>
      <c r="E963" s="42">
        <v>5400</v>
      </c>
      <c r="F963" s="42">
        <v>5400</v>
      </c>
    </row>
    <row r="964" spans="1:6" x14ac:dyDescent="0.3">
      <c r="A964" s="42">
        <v>1113</v>
      </c>
      <c r="B964" s="58" t="s">
        <v>123</v>
      </c>
      <c r="C964" s="42" t="s">
        <v>111</v>
      </c>
      <c r="D964" s="42">
        <v>5</v>
      </c>
      <c r="E964" s="42">
        <v>1000</v>
      </c>
      <c r="F964" s="42">
        <v>5000</v>
      </c>
    </row>
    <row r="965" spans="1:6" x14ac:dyDescent="0.3">
      <c r="A965" s="42">
        <v>1114</v>
      </c>
      <c r="B965" s="58" t="s">
        <v>124</v>
      </c>
      <c r="C965" s="42" t="s">
        <v>111</v>
      </c>
      <c r="D965" s="42">
        <v>8</v>
      </c>
      <c r="E965" s="42">
        <v>450</v>
      </c>
      <c r="F965" s="42">
        <v>3600</v>
      </c>
    </row>
    <row r="966" spans="1:6" x14ac:dyDescent="0.3">
      <c r="A966" s="42">
        <v>1106</v>
      </c>
      <c r="B966" s="58" t="s">
        <v>116</v>
      </c>
      <c r="C966" s="42" t="s">
        <v>111</v>
      </c>
      <c r="D966" s="42">
        <v>20</v>
      </c>
      <c r="E966" s="42">
        <v>45</v>
      </c>
      <c r="F966" s="42">
        <v>900</v>
      </c>
    </row>
    <row r="967" spans="1:6" x14ac:dyDescent="0.3">
      <c r="A967" s="42">
        <v>1107</v>
      </c>
      <c r="B967" s="58" t="s">
        <v>117</v>
      </c>
      <c r="C967" s="42" t="s">
        <v>111</v>
      </c>
      <c r="D967" s="42">
        <v>20</v>
      </c>
      <c r="E967" s="42">
        <v>15</v>
      </c>
      <c r="F967" s="42">
        <v>300</v>
      </c>
    </row>
    <row r="968" spans="1:6" x14ac:dyDescent="0.3">
      <c r="A968" s="42">
        <v>1021</v>
      </c>
      <c r="B968" s="58" t="s">
        <v>64</v>
      </c>
      <c r="C968" s="42" t="s">
        <v>44</v>
      </c>
      <c r="D968" s="42">
        <v>20</v>
      </c>
      <c r="E968" s="42">
        <v>170</v>
      </c>
      <c r="F968" s="42">
        <v>3400</v>
      </c>
    </row>
    <row r="969" spans="1:6" x14ac:dyDescent="0.3">
      <c r="A969" s="42"/>
      <c r="B969" s="58">
        <v>44742.429282754631</v>
      </c>
      <c r="C969" s="42" t="s">
        <v>3</v>
      </c>
      <c r="D969" s="42"/>
      <c r="E969" s="42"/>
      <c r="F969" s="42">
        <v>1225</v>
      </c>
    </row>
    <row r="970" spans="1:6" x14ac:dyDescent="0.3">
      <c r="A970" s="42" t="s">
        <v>5</v>
      </c>
      <c r="B970" s="58" t="s">
        <v>6</v>
      </c>
      <c r="C970" s="42" t="s">
        <v>7</v>
      </c>
      <c r="D970" s="42" t="s">
        <v>8</v>
      </c>
      <c r="E970" s="42" t="s">
        <v>9</v>
      </c>
      <c r="F970" s="42" t="s">
        <v>10</v>
      </c>
    </row>
    <row r="971" spans="1:6" x14ac:dyDescent="0.3">
      <c r="A971" s="42">
        <v>1114</v>
      </c>
      <c r="B971" s="58" t="s">
        <v>124</v>
      </c>
      <c r="C971" s="42" t="s">
        <v>111</v>
      </c>
      <c r="D971" s="42">
        <v>4</v>
      </c>
      <c r="E971" s="42">
        <v>450</v>
      </c>
      <c r="F971" s="42">
        <v>1800</v>
      </c>
    </row>
    <row r="972" spans="1:6" x14ac:dyDescent="0.3">
      <c r="A972" s="42"/>
      <c r="B972" s="58">
        <v>44742.432730092594</v>
      </c>
      <c r="C972" s="42" t="s">
        <v>3</v>
      </c>
      <c r="D972" s="42"/>
      <c r="E972" s="42"/>
      <c r="F972" s="42">
        <v>1153</v>
      </c>
    </row>
    <row r="973" spans="1:6" x14ac:dyDescent="0.3">
      <c r="A973" s="42" t="s">
        <v>5</v>
      </c>
      <c r="B973" s="58" t="s">
        <v>6</v>
      </c>
      <c r="C973" s="42" t="s">
        <v>7</v>
      </c>
      <c r="D973" s="42" t="s">
        <v>8</v>
      </c>
      <c r="E973" s="42" t="s">
        <v>9</v>
      </c>
      <c r="F973" s="42" t="s">
        <v>10</v>
      </c>
    </row>
    <row r="974" spans="1:6" x14ac:dyDescent="0.3">
      <c r="A974" s="42">
        <v>1012</v>
      </c>
      <c r="B974" s="58" t="s">
        <v>55</v>
      </c>
      <c r="C974" s="42" t="s">
        <v>44</v>
      </c>
      <c r="D974" s="42">
        <v>1</v>
      </c>
      <c r="E974" s="42">
        <v>1460</v>
      </c>
      <c r="F974" s="42">
        <v>1460</v>
      </c>
    </row>
    <row r="975" spans="1:6" x14ac:dyDescent="0.3">
      <c r="A975" s="42">
        <v>1013</v>
      </c>
      <c r="B975" s="58" t="s">
        <v>56</v>
      </c>
      <c r="C975" s="42" t="s">
        <v>44</v>
      </c>
      <c r="D975" s="42">
        <v>2</v>
      </c>
      <c r="E975" s="42">
        <v>1000</v>
      </c>
      <c r="F975" s="42">
        <v>2000</v>
      </c>
    </row>
    <row r="976" spans="1:6" x14ac:dyDescent="0.3">
      <c r="A976" s="42">
        <v>1030</v>
      </c>
      <c r="B976" s="58" t="s">
        <v>71</v>
      </c>
      <c r="C976" s="42" t="s">
        <v>44</v>
      </c>
      <c r="D976" s="42">
        <v>90</v>
      </c>
      <c r="E976" s="42">
        <v>100</v>
      </c>
      <c r="F976" s="42">
        <v>9000</v>
      </c>
    </row>
    <row r="977" spans="1:6" x14ac:dyDescent="0.3">
      <c r="A977" s="42">
        <v>1050</v>
      </c>
      <c r="B977" s="58" t="s">
        <v>92</v>
      </c>
      <c r="C977" s="42" t="s">
        <v>44</v>
      </c>
      <c r="D977" s="42">
        <v>1</v>
      </c>
      <c r="E977" s="42">
        <v>60</v>
      </c>
      <c r="F977" s="42">
        <v>60</v>
      </c>
    </row>
    <row r="978" spans="1:6" x14ac:dyDescent="0.3">
      <c r="A978" s="42">
        <v>1053</v>
      </c>
      <c r="B978" s="58" t="s">
        <v>95</v>
      </c>
      <c r="C978" s="42" t="s">
        <v>44</v>
      </c>
      <c r="D978" s="42">
        <v>1</v>
      </c>
      <c r="E978" s="42">
        <v>150</v>
      </c>
      <c r="F978" s="42">
        <v>150</v>
      </c>
    </row>
    <row r="979" spans="1:6" x14ac:dyDescent="0.3">
      <c r="A979" s="42">
        <v>1103</v>
      </c>
      <c r="B979" s="58" t="s">
        <v>113</v>
      </c>
      <c r="C979" s="42" t="s">
        <v>111</v>
      </c>
      <c r="D979" s="42">
        <v>2</v>
      </c>
      <c r="E979" s="42">
        <v>30</v>
      </c>
      <c r="F979" s="42">
        <v>60</v>
      </c>
    </row>
    <row r="980" spans="1:6" x14ac:dyDescent="0.3">
      <c r="A980" s="42">
        <v>1113</v>
      </c>
      <c r="B980" s="58" t="s">
        <v>123</v>
      </c>
      <c r="C980" s="42" t="s">
        <v>111</v>
      </c>
      <c r="D980" s="42">
        <v>8</v>
      </c>
      <c r="E980" s="42">
        <v>1000</v>
      </c>
      <c r="F980" s="42">
        <v>8000</v>
      </c>
    </row>
    <row r="981" spans="1:6" x14ac:dyDescent="0.3">
      <c r="A981" s="42">
        <v>1311</v>
      </c>
      <c r="B981" s="58" t="s">
        <v>162</v>
      </c>
      <c r="C981" s="42" t="s">
        <v>111</v>
      </c>
      <c r="D981" s="42">
        <v>1</v>
      </c>
      <c r="E981" s="42">
        <v>270</v>
      </c>
      <c r="F981" s="42">
        <v>270</v>
      </c>
    </row>
    <row r="982" spans="1:6" x14ac:dyDescent="0.3">
      <c r="A982" s="42">
        <v>1312</v>
      </c>
      <c r="B982" s="58" t="s">
        <v>163</v>
      </c>
      <c r="C982" s="42" t="s">
        <v>111</v>
      </c>
      <c r="D982" s="42">
        <v>1</v>
      </c>
      <c r="E982" s="42">
        <v>120</v>
      </c>
      <c r="F982" s="42">
        <v>120</v>
      </c>
    </row>
    <row r="983" spans="1:6" x14ac:dyDescent="0.3">
      <c r="A983" s="42">
        <v>1051</v>
      </c>
      <c r="B983" s="58" t="s">
        <v>93</v>
      </c>
      <c r="C983" s="42" t="s">
        <v>44</v>
      </c>
      <c r="D983" s="42">
        <v>1</v>
      </c>
      <c r="E983" s="42">
        <v>10</v>
      </c>
      <c r="F983" s="42">
        <v>10</v>
      </c>
    </row>
    <row r="984" spans="1:6" x14ac:dyDescent="0.3">
      <c r="A984" s="42">
        <v>1130</v>
      </c>
      <c r="B984" s="58" t="s">
        <v>141</v>
      </c>
      <c r="C984" s="42" t="s">
        <v>111</v>
      </c>
      <c r="D984" s="42">
        <v>1</v>
      </c>
      <c r="E984" s="42">
        <v>80</v>
      </c>
      <c r="F984" s="42">
        <v>80</v>
      </c>
    </row>
    <row r="985" spans="1:6" x14ac:dyDescent="0.3">
      <c r="A985" s="42">
        <v>1059</v>
      </c>
      <c r="B985" s="58" t="s">
        <v>101</v>
      </c>
      <c r="C985" s="42" t="s">
        <v>44</v>
      </c>
      <c r="D985" s="42">
        <v>1</v>
      </c>
      <c r="E985" s="42">
        <v>100</v>
      </c>
      <c r="F985" s="42">
        <v>100</v>
      </c>
    </row>
    <row r="986" spans="1:6" x14ac:dyDescent="0.3">
      <c r="A986" s="42">
        <v>1060</v>
      </c>
      <c r="B986" s="58" t="s">
        <v>102</v>
      </c>
      <c r="C986" s="42" t="s">
        <v>44</v>
      </c>
      <c r="D986" s="42">
        <v>5</v>
      </c>
      <c r="E986" s="42">
        <v>20</v>
      </c>
      <c r="F986" s="42">
        <v>100</v>
      </c>
    </row>
    <row r="987" spans="1:6" x14ac:dyDescent="0.3">
      <c r="A987" s="42"/>
      <c r="B987" s="58">
        <v>44742.513613888892</v>
      </c>
      <c r="C987" s="42" t="s">
        <v>3</v>
      </c>
      <c r="D987" s="42"/>
      <c r="E987" s="42"/>
      <c r="F987" s="42">
        <v>1176</v>
      </c>
    </row>
    <row r="988" spans="1:6" x14ac:dyDescent="0.3">
      <c r="A988" s="42" t="s">
        <v>5</v>
      </c>
      <c r="B988" s="58" t="s">
        <v>6</v>
      </c>
      <c r="C988" s="42" t="s">
        <v>7</v>
      </c>
      <c r="D988" s="42" t="s">
        <v>8</v>
      </c>
      <c r="E988" s="42" t="s">
        <v>9</v>
      </c>
      <c r="F988" s="42" t="s">
        <v>10</v>
      </c>
    </row>
    <row r="989" spans="1:6" x14ac:dyDescent="0.3">
      <c r="A989" s="42">
        <v>1053</v>
      </c>
      <c r="B989" s="58" t="s">
        <v>95</v>
      </c>
      <c r="C989" s="42" t="s">
        <v>44</v>
      </c>
      <c r="D989" s="42">
        <v>1</v>
      </c>
      <c r="E989" s="42">
        <v>150</v>
      </c>
      <c r="F989" s="42">
        <v>150</v>
      </c>
    </row>
    <row r="990" spans="1:6" x14ac:dyDescent="0.3">
      <c r="A990" s="42">
        <v>1026</v>
      </c>
      <c r="B990" s="58" t="s">
        <v>67</v>
      </c>
      <c r="C990" s="42" t="s">
        <v>44</v>
      </c>
      <c r="D990" s="42">
        <v>8</v>
      </c>
      <c r="E990" s="42">
        <v>60</v>
      </c>
      <c r="F990" s="42">
        <v>480</v>
      </c>
    </row>
    <row r="991" spans="1:6" x14ac:dyDescent="0.3">
      <c r="A991" s="42">
        <v>1027</v>
      </c>
      <c r="B991" s="58" t="s">
        <v>68</v>
      </c>
      <c r="C991" s="42" t="s">
        <v>44</v>
      </c>
      <c r="D991" s="42">
        <v>16</v>
      </c>
      <c r="E991" s="42">
        <v>20</v>
      </c>
      <c r="F991" s="42">
        <v>320</v>
      </c>
    </row>
    <row r="992" spans="1:6" x14ac:dyDescent="0.3">
      <c r="A992" s="42">
        <v>1030</v>
      </c>
      <c r="B992" s="58" t="s">
        <v>71</v>
      </c>
      <c r="C992" s="42" t="s">
        <v>44</v>
      </c>
      <c r="D992" s="42">
        <v>33</v>
      </c>
      <c r="E992" s="42">
        <v>100</v>
      </c>
      <c r="F992" s="42">
        <v>3300</v>
      </c>
    </row>
    <row r="993" spans="1:6" x14ac:dyDescent="0.3">
      <c r="A993" s="42">
        <v>1033</v>
      </c>
      <c r="B993" s="58" t="s">
        <v>74</v>
      </c>
      <c r="C993" s="42" t="s">
        <v>44</v>
      </c>
      <c r="D993" s="42">
        <v>4</v>
      </c>
      <c r="E993" s="42">
        <v>180</v>
      </c>
      <c r="F993" s="42">
        <v>720</v>
      </c>
    </row>
    <row r="994" spans="1:6" x14ac:dyDescent="0.3">
      <c r="A994" s="42">
        <v>1034</v>
      </c>
      <c r="B994" s="58" t="s">
        <v>75</v>
      </c>
      <c r="C994" s="42" t="s">
        <v>44</v>
      </c>
      <c r="D994" s="42">
        <v>4</v>
      </c>
      <c r="E994" s="42">
        <v>120</v>
      </c>
      <c r="F994" s="42">
        <v>480</v>
      </c>
    </row>
    <row r="995" spans="1:6" x14ac:dyDescent="0.3">
      <c r="A995" s="42">
        <v>1035</v>
      </c>
      <c r="B995" s="58" t="s">
        <v>76</v>
      </c>
      <c r="C995" s="42" t="s">
        <v>44</v>
      </c>
      <c r="D995" s="42">
        <v>4</v>
      </c>
      <c r="E995" s="42">
        <v>110</v>
      </c>
      <c r="F995" s="42">
        <v>440</v>
      </c>
    </row>
    <row r="996" spans="1:6" x14ac:dyDescent="0.3">
      <c r="A996" s="42">
        <v>1036</v>
      </c>
      <c r="B996" s="58" t="s">
        <v>77</v>
      </c>
      <c r="C996" s="42" t="s">
        <v>44</v>
      </c>
      <c r="D996" s="42">
        <v>6</v>
      </c>
      <c r="E996" s="42">
        <v>10</v>
      </c>
      <c r="F996" s="42">
        <v>60</v>
      </c>
    </row>
    <row r="997" spans="1:6" x14ac:dyDescent="0.3">
      <c r="A997" s="42">
        <v>1037</v>
      </c>
      <c r="B997" s="58" t="s">
        <v>78</v>
      </c>
      <c r="C997" s="42" t="s">
        <v>79</v>
      </c>
      <c r="D997" s="42">
        <v>6</v>
      </c>
      <c r="E997" s="42">
        <v>50</v>
      </c>
      <c r="F997" s="42">
        <v>300</v>
      </c>
    </row>
    <row r="998" spans="1:6" x14ac:dyDescent="0.3">
      <c r="A998" s="42">
        <v>1046</v>
      </c>
      <c r="B998" s="58" t="s">
        <v>88</v>
      </c>
      <c r="C998" s="42" t="s">
        <v>44</v>
      </c>
      <c r="D998" s="42">
        <v>1</v>
      </c>
      <c r="E998" s="42">
        <v>125</v>
      </c>
      <c r="F998" s="42">
        <v>125</v>
      </c>
    </row>
    <row r="999" spans="1:6" x14ac:dyDescent="0.3">
      <c r="A999" s="42">
        <v>1047</v>
      </c>
      <c r="B999" s="58" t="s">
        <v>89</v>
      </c>
      <c r="C999" s="42" t="s">
        <v>44</v>
      </c>
      <c r="D999" s="42">
        <v>1</v>
      </c>
      <c r="E999" s="42">
        <v>125</v>
      </c>
      <c r="F999" s="42">
        <v>125</v>
      </c>
    </row>
    <row r="1000" spans="1:6" x14ac:dyDescent="0.3">
      <c r="A1000" s="42">
        <v>1050</v>
      </c>
      <c r="B1000" s="58" t="s">
        <v>92</v>
      </c>
      <c r="C1000" s="42" t="s">
        <v>44</v>
      </c>
      <c r="D1000" s="42">
        <v>2</v>
      </c>
      <c r="E1000" s="42">
        <v>60</v>
      </c>
      <c r="F1000" s="42">
        <v>120</v>
      </c>
    </row>
    <row r="1001" spans="1:6" x14ac:dyDescent="0.3">
      <c r="A1001" s="42">
        <v>1055</v>
      </c>
      <c r="B1001" s="58" t="s">
        <v>97</v>
      </c>
      <c r="C1001" s="42" t="s">
        <v>44</v>
      </c>
      <c r="D1001" s="42">
        <v>2</v>
      </c>
      <c r="E1001" s="42">
        <v>60</v>
      </c>
      <c r="F1001" s="42">
        <v>120</v>
      </c>
    </row>
    <row r="1002" spans="1:6" x14ac:dyDescent="0.3">
      <c r="A1002" s="42">
        <v>1059</v>
      </c>
      <c r="B1002" s="58" t="s">
        <v>101</v>
      </c>
      <c r="C1002" s="42" t="s">
        <v>44</v>
      </c>
      <c r="D1002" s="42">
        <v>2</v>
      </c>
      <c r="E1002" s="42">
        <v>100</v>
      </c>
      <c r="F1002" s="42">
        <v>200</v>
      </c>
    </row>
    <row r="1003" spans="1:6" x14ac:dyDescent="0.3">
      <c r="A1003" s="42">
        <v>1061</v>
      </c>
      <c r="B1003" s="58" t="s">
        <v>103</v>
      </c>
      <c r="C1003" s="42" t="s">
        <v>44</v>
      </c>
      <c r="D1003" s="42">
        <v>2</v>
      </c>
      <c r="E1003" s="42">
        <v>10</v>
      </c>
      <c r="F1003" s="42">
        <v>20</v>
      </c>
    </row>
    <row r="1004" spans="1:6" x14ac:dyDescent="0.3">
      <c r="A1004" s="42">
        <v>1063</v>
      </c>
      <c r="B1004" s="58" t="s">
        <v>105</v>
      </c>
      <c r="C1004" s="42" t="s">
        <v>44</v>
      </c>
      <c r="D1004" s="42">
        <v>1</v>
      </c>
      <c r="E1004" s="42">
        <v>400</v>
      </c>
      <c r="F1004" s="42">
        <v>400</v>
      </c>
    </row>
    <row r="1005" spans="1:6" x14ac:dyDescent="0.3">
      <c r="A1005" s="42">
        <v>1101</v>
      </c>
      <c r="B1005" s="58" t="s">
        <v>110</v>
      </c>
      <c r="C1005" s="42" t="s">
        <v>111</v>
      </c>
      <c r="D1005" s="42">
        <v>4</v>
      </c>
      <c r="E1005" s="42">
        <v>125</v>
      </c>
      <c r="F1005" s="42">
        <v>500</v>
      </c>
    </row>
    <row r="1006" spans="1:6" x14ac:dyDescent="0.3">
      <c r="A1006" s="42">
        <v>1103</v>
      </c>
      <c r="B1006" s="58" t="s">
        <v>113</v>
      </c>
      <c r="C1006" s="42" t="s">
        <v>111</v>
      </c>
      <c r="D1006" s="42">
        <v>5</v>
      </c>
      <c r="E1006" s="42">
        <v>30</v>
      </c>
      <c r="F1006" s="42">
        <v>150</v>
      </c>
    </row>
    <row r="1007" spans="1:6" x14ac:dyDescent="0.3">
      <c r="A1007" s="42">
        <v>1106</v>
      </c>
      <c r="B1007" s="58" t="s">
        <v>116</v>
      </c>
      <c r="C1007" s="42" t="s">
        <v>111</v>
      </c>
      <c r="D1007" s="42">
        <v>5</v>
      </c>
      <c r="E1007" s="42">
        <v>45</v>
      </c>
      <c r="F1007" s="42">
        <v>225</v>
      </c>
    </row>
    <row r="1008" spans="1:6" x14ac:dyDescent="0.3">
      <c r="A1008" s="42">
        <v>1113</v>
      </c>
      <c r="B1008" s="58" t="s">
        <v>123</v>
      </c>
      <c r="C1008" s="42" t="s">
        <v>111</v>
      </c>
      <c r="D1008" s="42">
        <v>3</v>
      </c>
      <c r="E1008" s="42">
        <v>1000</v>
      </c>
      <c r="F1008" s="42">
        <v>3000</v>
      </c>
    </row>
    <row r="1009" spans="1:6" x14ac:dyDescent="0.3">
      <c r="A1009" s="42"/>
      <c r="B1009" s="58">
        <v>44742.519400810183</v>
      </c>
      <c r="C1009" s="42" t="s">
        <v>3</v>
      </c>
      <c r="D1009" s="42"/>
      <c r="E1009" s="42"/>
      <c r="F1009" s="42">
        <v>1224</v>
      </c>
    </row>
    <row r="1010" spans="1:6" x14ac:dyDescent="0.3">
      <c r="A1010" s="42" t="s">
        <v>5</v>
      </c>
      <c r="B1010" s="58" t="s">
        <v>6</v>
      </c>
      <c r="C1010" s="42" t="s">
        <v>7</v>
      </c>
      <c r="D1010" s="42" t="s">
        <v>8</v>
      </c>
      <c r="E1010" s="42" t="s">
        <v>9</v>
      </c>
      <c r="F1010" s="42" t="s">
        <v>10</v>
      </c>
    </row>
    <row r="1011" spans="1:6" x14ac:dyDescent="0.3">
      <c r="A1011" s="42">
        <v>1004</v>
      </c>
      <c r="B1011" s="58" t="s">
        <v>47</v>
      </c>
      <c r="C1011" s="42" t="s">
        <v>44</v>
      </c>
      <c r="D1011" s="42">
        <v>1</v>
      </c>
      <c r="E1011" s="42">
        <v>6000</v>
      </c>
      <c r="F1011" s="42">
        <v>6000</v>
      </c>
    </row>
    <row r="1012" spans="1:6" x14ac:dyDescent="0.3">
      <c r="A1012" s="42">
        <v>1432</v>
      </c>
      <c r="B1012" s="58" t="s">
        <v>218</v>
      </c>
      <c r="C1012" s="42" t="s">
        <v>111</v>
      </c>
      <c r="D1012" s="42">
        <v>5</v>
      </c>
      <c r="E1012" s="42">
        <v>100</v>
      </c>
      <c r="F1012" s="42">
        <v>500</v>
      </c>
    </row>
    <row r="1013" spans="1:6" x14ac:dyDescent="0.3">
      <c r="A1013" s="42">
        <v>1048</v>
      </c>
      <c r="B1013" s="58" t="s">
        <v>90</v>
      </c>
      <c r="C1013" s="42" t="s">
        <v>44</v>
      </c>
      <c r="D1013" s="42">
        <v>1</v>
      </c>
      <c r="E1013" s="42">
        <v>250</v>
      </c>
      <c r="F1013" s="42">
        <v>250</v>
      </c>
    </row>
    <row r="1014" spans="1:6" x14ac:dyDescent="0.3">
      <c r="A1014" s="42"/>
      <c r="B1014" s="58">
        <v>44742.552164004628</v>
      </c>
      <c r="C1014" s="42" t="s">
        <v>3</v>
      </c>
      <c r="D1014" s="42"/>
      <c r="E1014" s="42"/>
      <c r="F1014" s="42">
        <v>1226</v>
      </c>
    </row>
    <row r="1015" spans="1:6" x14ac:dyDescent="0.3">
      <c r="A1015" s="42" t="s">
        <v>5</v>
      </c>
      <c r="B1015" s="58" t="s">
        <v>6</v>
      </c>
      <c r="C1015" s="42" t="s">
        <v>7</v>
      </c>
      <c r="D1015" s="42" t="s">
        <v>8</v>
      </c>
      <c r="E1015" s="42" t="s">
        <v>9</v>
      </c>
      <c r="F1015" s="42" t="s">
        <v>10</v>
      </c>
    </row>
    <row r="1016" spans="1:6" x14ac:dyDescent="0.3">
      <c r="A1016" s="42">
        <v>1049</v>
      </c>
      <c r="B1016" s="58" t="s">
        <v>91</v>
      </c>
      <c r="C1016" s="42" t="s">
        <v>44</v>
      </c>
      <c r="D1016" s="42">
        <v>1</v>
      </c>
      <c r="E1016" s="42">
        <v>350</v>
      </c>
      <c r="F1016" s="42">
        <v>350</v>
      </c>
    </row>
    <row r="1017" spans="1:6" x14ac:dyDescent="0.3">
      <c r="A1017" s="42"/>
      <c r="B1017" s="58">
        <v>44742.586945138886</v>
      </c>
      <c r="C1017" s="42" t="s">
        <v>3</v>
      </c>
      <c r="D1017" s="42"/>
      <c r="E1017" s="42"/>
      <c r="F1017" s="42">
        <v>1190</v>
      </c>
    </row>
    <row r="1018" spans="1:6" x14ac:dyDescent="0.3">
      <c r="A1018" s="42" t="s">
        <v>5</v>
      </c>
      <c r="B1018" s="58" t="s">
        <v>6</v>
      </c>
      <c r="C1018" s="42" t="s">
        <v>7</v>
      </c>
      <c r="D1018" s="42" t="s">
        <v>8</v>
      </c>
      <c r="E1018" s="42" t="s">
        <v>9</v>
      </c>
      <c r="F1018" s="42" t="s">
        <v>10</v>
      </c>
    </row>
    <row r="1019" spans="1:6" x14ac:dyDescent="0.3">
      <c r="A1019" s="42">
        <v>1030</v>
      </c>
      <c r="B1019" s="58" t="s">
        <v>71</v>
      </c>
      <c r="C1019" s="42" t="s">
        <v>44</v>
      </c>
      <c r="D1019" s="42">
        <v>25</v>
      </c>
      <c r="E1019" s="42">
        <v>100</v>
      </c>
      <c r="F1019" s="42">
        <v>2500</v>
      </c>
    </row>
    <row r="1020" spans="1:6" x14ac:dyDescent="0.3">
      <c r="A1020" s="42">
        <v>1101</v>
      </c>
      <c r="B1020" s="58" t="s">
        <v>110</v>
      </c>
      <c r="C1020" s="42" t="s">
        <v>111</v>
      </c>
      <c r="D1020" s="42">
        <v>3</v>
      </c>
      <c r="E1020" s="42">
        <v>125</v>
      </c>
      <c r="F1020" s="42">
        <v>375</v>
      </c>
    </row>
    <row r="1021" spans="1:6" x14ac:dyDescent="0.3">
      <c r="A1021" s="42">
        <v>1113</v>
      </c>
      <c r="B1021" s="58" t="s">
        <v>123</v>
      </c>
      <c r="C1021" s="42" t="s">
        <v>111</v>
      </c>
      <c r="D1021" s="42">
        <v>2</v>
      </c>
      <c r="E1021" s="42">
        <v>1000</v>
      </c>
      <c r="F1021" s="42">
        <v>2000</v>
      </c>
    </row>
    <row r="1022" spans="1:6" x14ac:dyDescent="0.3">
      <c r="A1022" s="42">
        <v>1201</v>
      </c>
      <c r="B1022" s="58" t="s">
        <v>147</v>
      </c>
      <c r="C1022" s="42" t="s">
        <v>111</v>
      </c>
      <c r="D1022" s="42">
        <v>1</v>
      </c>
      <c r="E1022" s="42">
        <v>3000</v>
      </c>
      <c r="F1022" s="42">
        <v>3000</v>
      </c>
    </row>
    <row r="1023" spans="1:6" x14ac:dyDescent="0.3">
      <c r="A1023" s="42">
        <v>1312</v>
      </c>
      <c r="B1023" s="58" t="s">
        <v>163</v>
      </c>
      <c r="C1023" s="42" t="s">
        <v>111</v>
      </c>
      <c r="D1023" s="42">
        <v>1</v>
      </c>
      <c r="E1023" s="42">
        <v>120</v>
      </c>
      <c r="F1023" s="42">
        <v>120</v>
      </c>
    </row>
    <row r="1024" spans="1:6" x14ac:dyDescent="0.3">
      <c r="A1024" s="42"/>
      <c r="B1024" s="58" t="s">
        <v>219</v>
      </c>
      <c r="C1024" s="42" t="s">
        <v>219</v>
      </c>
      <c r="D1024" s="42"/>
      <c r="E1024" s="42" t="s">
        <v>219</v>
      </c>
      <c r="F1024" s="42" t="s">
        <v>219</v>
      </c>
    </row>
    <row r="1025" spans="1:6" x14ac:dyDescent="0.3">
      <c r="A1025" s="42"/>
      <c r="B1025" s="58" t="s">
        <v>219</v>
      </c>
      <c r="C1025" s="42" t="s">
        <v>219</v>
      </c>
      <c r="D1025" s="42"/>
      <c r="E1025" s="42" t="s">
        <v>219</v>
      </c>
      <c r="F1025" s="42" t="s">
        <v>219</v>
      </c>
    </row>
    <row r="1026" spans="1:6" x14ac:dyDescent="0.3">
      <c r="A1026" s="42"/>
      <c r="B1026" s="58" t="s">
        <v>219</v>
      </c>
      <c r="C1026" s="42" t="s">
        <v>219</v>
      </c>
      <c r="D1026" s="42"/>
      <c r="E1026" s="42" t="s">
        <v>219</v>
      </c>
      <c r="F1026" s="42" t="s">
        <v>219</v>
      </c>
    </row>
    <row r="1027" spans="1:6" x14ac:dyDescent="0.3">
      <c r="A1027" s="42"/>
      <c r="B1027" s="58" t="s">
        <v>219</v>
      </c>
      <c r="C1027" s="42" t="s">
        <v>219</v>
      </c>
      <c r="D1027" s="42"/>
      <c r="E1027" s="42" t="s">
        <v>219</v>
      </c>
      <c r="F1027" s="42" t="s">
        <v>219</v>
      </c>
    </row>
    <row r="1028" spans="1:6" x14ac:dyDescent="0.3">
      <c r="A1028" s="42"/>
      <c r="B1028" s="58" t="s">
        <v>219</v>
      </c>
      <c r="C1028" s="42" t="s">
        <v>219</v>
      </c>
      <c r="D1028" s="42"/>
      <c r="E1028" s="42" t="s">
        <v>219</v>
      </c>
      <c r="F1028" s="42" t="s">
        <v>219</v>
      </c>
    </row>
    <row r="1029" spans="1:6" x14ac:dyDescent="0.3">
      <c r="A1029" s="42"/>
      <c r="B1029" s="58" t="s">
        <v>219</v>
      </c>
      <c r="C1029" s="42" t="s">
        <v>219</v>
      </c>
      <c r="D1029" s="42"/>
      <c r="E1029" s="42" t="s">
        <v>219</v>
      </c>
      <c r="F1029" s="42" t="s">
        <v>219</v>
      </c>
    </row>
    <row r="1030" spans="1:6" x14ac:dyDescent="0.3">
      <c r="A1030" s="42"/>
      <c r="B1030" s="58" t="s">
        <v>219</v>
      </c>
      <c r="C1030" s="42" t="s">
        <v>219</v>
      </c>
      <c r="D1030" s="42"/>
      <c r="E1030" s="42" t="s">
        <v>219</v>
      </c>
      <c r="F1030" s="42" t="s">
        <v>219</v>
      </c>
    </row>
    <row r="1031" spans="1:6" x14ac:dyDescent="0.3">
      <c r="A1031" s="42"/>
      <c r="B1031" s="58" t="s">
        <v>219</v>
      </c>
      <c r="C1031" s="42" t="s">
        <v>219</v>
      </c>
      <c r="D1031" s="42"/>
      <c r="E1031" s="42" t="s">
        <v>219</v>
      </c>
      <c r="F1031" s="42" t="s">
        <v>219</v>
      </c>
    </row>
    <row r="1032" spans="1:6" x14ac:dyDescent="0.3">
      <c r="A1032" s="42"/>
      <c r="B1032" s="58" t="s">
        <v>219</v>
      </c>
      <c r="C1032" s="42" t="s">
        <v>219</v>
      </c>
      <c r="D1032" s="42"/>
      <c r="E1032" s="42" t="s">
        <v>219</v>
      </c>
      <c r="F1032" s="42" t="s">
        <v>219</v>
      </c>
    </row>
    <row r="1033" spans="1:6" x14ac:dyDescent="0.3">
      <c r="A1033" s="42"/>
      <c r="B1033" s="58" t="s">
        <v>219</v>
      </c>
      <c r="C1033" s="42" t="s">
        <v>219</v>
      </c>
      <c r="D1033" s="42"/>
      <c r="E1033" s="42" t="s">
        <v>219</v>
      </c>
      <c r="F1033" s="42" t="s">
        <v>219</v>
      </c>
    </row>
    <row r="1034" spans="1:6" x14ac:dyDescent="0.3">
      <c r="A1034" s="42"/>
      <c r="B1034" s="58" t="s">
        <v>219</v>
      </c>
      <c r="C1034" s="42" t="s">
        <v>219</v>
      </c>
      <c r="D1034" s="42"/>
      <c r="E1034" s="42" t="s">
        <v>219</v>
      </c>
      <c r="F1034" s="42" t="s">
        <v>219</v>
      </c>
    </row>
    <row r="1035" spans="1:6" x14ac:dyDescent="0.3">
      <c r="A1035" s="42"/>
      <c r="B1035" s="58" t="s">
        <v>219</v>
      </c>
      <c r="C1035" s="42" t="s">
        <v>219</v>
      </c>
      <c r="D1035" s="42"/>
      <c r="E1035" s="42" t="s">
        <v>219</v>
      </c>
      <c r="F1035" s="42" t="s">
        <v>219</v>
      </c>
    </row>
    <row r="1036" spans="1:6" x14ac:dyDescent="0.3">
      <c r="A1036" s="42"/>
      <c r="B1036" s="58" t="s">
        <v>219</v>
      </c>
      <c r="C1036" s="42" t="s">
        <v>219</v>
      </c>
      <c r="D1036" s="42"/>
      <c r="E1036" s="42" t="s">
        <v>219</v>
      </c>
      <c r="F1036" s="42" t="s">
        <v>219</v>
      </c>
    </row>
    <row r="1037" spans="1:6" x14ac:dyDescent="0.3">
      <c r="A1037" s="42"/>
      <c r="B1037" s="58" t="s">
        <v>219</v>
      </c>
      <c r="C1037" s="42" t="s">
        <v>219</v>
      </c>
      <c r="D1037" s="42"/>
      <c r="E1037" s="42" t="s">
        <v>219</v>
      </c>
      <c r="F1037" s="42" t="s">
        <v>219</v>
      </c>
    </row>
    <row r="1038" spans="1:6" x14ac:dyDescent="0.3">
      <c r="A1038" s="42"/>
      <c r="B1038" s="58" t="s">
        <v>219</v>
      </c>
      <c r="C1038" s="42" t="s">
        <v>219</v>
      </c>
      <c r="D1038" s="42"/>
      <c r="E1038" s="42" t="s">
        <v>219</v>
      </c>
      <c r="F1038" s="42" t="s">
        <v>219</v>
      </c>
    </row>
    <row r="1039" spans="1:6" x14ac:dyDescent="0.3">
      <c r="A1039" s="42"/>
      <c r="B1039" s="58"/>
      <c r="C1039" s="42"/>
      <c r="D1039" s="42"/>
      <c r="E1039" s="42"/>
      <c r="F1039" s="42"/>
    </row>
    <row r="1040" spans="1:6" x14ac:dyDescent="0.3">
      <c r="A1040" s="42"/>
      <c r="B1040" s="58"/>
      <c r="C1040" s="42"/>
      <c r="D1040" s="42"/>
      <c r="E1040" s="42"/>
      <c r="F1040" s="42"/>
    </row>
    <row r="1041" spans="1:6" x14ac:dyDescent="0.3">
      <c r="A1041" s="42"/>
      <c r="B1041" s="58"/>
      <c r="C1041" s="42"/>
      <c r="D1041" s="42"/>
      <c r="E1041" s="42"/>
      <c r="F1041" s="42"/>
    </row>
    <row r="1042" spans="1:6" x14ac:dyDescent="0.3">
      <c r="A1042" s="42"/>
      <c r="B1042" s="58"/>
      <c r="C1042" s="42"/>
      <c r="D1042" s="42"/>
      <c r="E1042" s="42"/>
      <c r="F1042" s="42"/>
    </row>
    <row r="1043" spans="1:6" x14ac:dyDescent="0.3">
      <c r="A1043" s="42"/>
      <c r="B1043" s="58"/>
      <c r="C1043" s="42"/>
      <c r="D1043" s="42"/>
      <c r="E1043" s="42"/>
      <c r="F1043" s="42"/>
    </row>
    <row r="1044" spans="1:6" x14ac:dyDescent="0.3">
      <c r="A1044" s="42"/>
      <c r="B1044" s="58"/>
      <c r="C1044" s="42"/>
      <c r="D1044" s="42"/>
      <c r="E1044" s="42"/>
      <c r="F1044" s="42"/>
    </row>
    <row r="1045" spans="1:6" x14ac:dyDescent="0.3">
      <c r="A1045" s="42"/>
      <c r="B1045" s="58"/>
      <c r="C1045" s="42"/>
      <c r="D1045" s="42"/>
      <c r="E1045" s="42"/>
      <c r="F1045" s="42"/>
    </row>
    <row r="1046" spans="1:6" x14ac:dyDescent="0.3">
      <c r="A1046" s="42"/>
      <c r="B1046" s="58"/>
      <c r="C1046" s="42"/>
      <c r="D1046" s="42"/>
      <c r="E1046" s="42"/>
      <c r="F1046" s="42"/>
    </row>
    <row r="1047" spans="1:6" x14ac:dyDescent="0.3">
      <c r="A1047" s="42"/>
      <c r="B1047" s="58"/>
      <c r="C1047" s="42"/>
      <c r="D1047" s="42"/>
      <c r="E1047" s="42"/>
      <c r="F1047" s="42"/>
    </row>
    <row r="1048" spans="1:6" x14ac:dyDescent="0.3">
      <c r="A1048" s="42"/>
      <c r="B1048" s="58"/>
      <c r="C1048" s="42"/>
      <c r="D1048" s="42"/>
      <c r="E1048" s="42"/>
      <c r="F1048" s="42"/>
    </row>
    <row r="1049" spans="1:6" x14ac:dyDescent="0.3">
      <c r="A1049" s="42"/>
      <c r="B1049" s="58"/>
      <c r="C1049" s="42"/>
      <c r="D1049" s="42"/>
      <c r="E1049" s="42"/>
      <c r="F1049" s="42"/>
    </row>
    <row r="1050" spans="1:6" x14ac:dyDescent="0.3">
      <c r="A1050" s="42"/>
      <c r="B1050" s="58"/>
      <c r="C1050" s="42"/>
      <c r="D1050" s="42"/>
      <c r="E1050" s="42"/>
      <c r="F1050" s="42"/>
    </row>
    <row r="1051" spans="1:6" x14ac:dyDescent="0.3">
      <c r="A1051" s="42"/>
      <c r="B1051" s="58"/>
      <c r="C1051" s="42"/>
      <c r="D1051" s="42"/>
      <c r="E1051" s="42"/>
      <c r="F1051" s="42"/>
    </row>
    <row r="1052" spans="1:6" x14ac:dyDescent="0.3">
      <c r="A1052" s="42"/>
      <c r="B1052" s="58"/>
      <c r="C1052" s="42"/>
      <c r="D1052" s="42"/>
      <c r="E1052" s="42"/>
      <c r="F1052" s="42"/>
    </row>
    <row r="1053" spans="1:6" x14ac:dyDescent="0.3">
      <c r="A1053" s="42"/>
      <c r="B1053" s="58"/>
      <c r="C1053" s="42"/>
      <c r="D1053" s="42"/>
      <c r="E1053" s="42"/>
      <c r="F1053" s="42"/>
    </row>
    <row r="1054" spans="1:6" x14ac:dyDescent="0.3">
      <c r="A1054" s="42"/>
      <c r="B1054" s="58"/>
      <c r="C1054" s="42"/>
      <c r="D1054" s="42"/>
      <c r="E1054" s="42"/>
      <c r="F1054" s="42"/>
    </row>
    <row r="1055" spans="1:6" x14ac:dyDescent="0.3">
      <c r="A1055" s="42"/>
      <c r="B1055" s="58"/>
      <c r="C1055" s="42"/>
      <c r="D1055" s="42"/>
      <c r="E1055" s="42"/>
      <c r="F1055" s="42"/>
    </row>
    <row r="1056" spans="1:6" x14ac:dyDescent="0.3">
      <c r="A1056" s="42"/>
      <c r="B1056" s="58"/>
      <c r="C1056" s="42"/>
      <c r="D1056" s="42"/>
      <c r="E1056" s="42"/>
      <c r="F1056" s="42"/>
    </row>
    <row r="1057" spans="1:6" x14ac:dyDescent="0.3">
      <c r="A1057" s="42"/>
      <c r="B1057" s="58"/>
      <c r="C1057" s="42"/>
      <c r="D1057" s="42"/>
      <c r="E1057" s="42"/>
      <c r="F1057" s="42"/>
    </row>
    <row r="1058" spans="1:6" x14ac:dyDescent="0.3">
      <c r="A1058" s="42"/>
      <c r="B1058" s="58"/>
      <c r="C1058" s="42"/>
      <c r="D1058" s="42"/>
      <c r="E1058" s="42"/>
      <c r="F1058" s="42"/>
    </row>
    <row r="1059" spans="1:6" x14ac:dyDescent="0.3">
      <c r="A1059" s="42"/>
      <c r="B1059" s="58"/>
      <c r="C1059" s="42"/>
      <c r="D1059" s="42"/>
      <c r="E1059" s="42"/>
      <c r="F1059" s="42"/>
    </row>
    <row r="1060" spans="1:6" x14ac:dyDescent="0.3">
      <c r="A1060" s="42"/>
      <c r="B1060" s="58"/>
      <c r="C1060" s="42"/>
      <c r="D1060" s="42"/>
      <c r="E1060" s="42"/>
      <c r="F1060" s="42"/>
    </row>
    <row r="1061" spans="1:6" x14ac:dyDescent="0.3">
      <c r="A1061" s="42"/>
      <c r="B1061" s="58"/>
      <c r="C1061" s="42"/>
      <c r="D1061" s="42"/>
      <c r="E1061" s="42"/>
      <c r="F1061" s="42"/>
    </row>
    <row r="1062" spans="1:6" x14ac:dyDescent="0.3">
      <c r="A1062" s="42"/>
      <c r="B1062" s="58"/>
      <c r="C1062" s="42"/>
      <c r="D1062" s="42"/>
      <c r="E1062" s="42"/>
      <c r="F1062" s="42"/>
    </row>
    <row r="1063" spans="1:6" x14ac:dyDescent="0.3">
      <c r="A1063" s="42"/>
      <c r="B1063" s="58"/>
      <c r="C1063" s="42"/>
      <c r="D1063" s="42"/>
      <c r="E1063" s="42"/>
      <c r="F1063" s="42"/>
    </row>
    <row r="1064" spans="1:6" x14ac:dyDescent="0.3">
      <c r="A1064" s="42"/>
      <c r="B1064" s="58"/>
      <c r="C1064" s="42"/>
      <c r="D1064" s="42"/>
      <c r="E1064" s="42"/>
      <c r="F1064" s="42"/>
    </row>
    <row r="1065" spans="1:6" x14ac:dyDescent="0.3">
      <c r="A1065" s="42"/>
      <c r="B1065" s="58"/>
      <c r="C1065" s="42"/>
      <c r="D1065" s="42"/>
      <c r="E1065" s="42"/>
      <c r="F1065" s="42"/>
    </row>
    <row r="1066" spans="1:6" x14ac:dyDescent="0.3">
      <c r="A1066" s="42"/>
      <c r="B1066" s="58"/>
      <c r="C1066" s="42"/>
      <c r="D1066" s="42"/>
      <c r="E1066" s="42"/>
      <c r="F1066" s="42"/>
    </row>
    <row r="1067" spans="1:6" x14ac:dyDescent="0.3">
      <c r="A1067" s="42"/>
      <c r="B1067" s="58"/>
      <c r="C1067" s="42"/>
      <c r="D1067" s="42"/>
      <c r="E1067" s="42"/>
      <c r="F1067" s="42"/>
    </row>
    <row r="1068" spans="1:6" x14ac:dyDescent="0.3">
      <c r="A1068" s="42"/>
      <c r="B1068" s="58"/>
      <c r="C1068" s="42"/>
      <c r="D1068" s="42"/>
      <c r="E1068" s="42"/>
      <c r="F1068" s="42"/>
    </row>
    <row r="1069" spans="1:6" x14ac:dyDescent="0.3">
      <c r="A1069" s="42"/>
      <c r="B1069" s="58"/>
      <c r="C1069" s="42"/>
      <c r="D1069" s="42"/>
      <c r="E1069" s="42"/>
      <c r="F1069" s="42"/>
    </row>
    <row r="1070" spans="1:6" x14ac:dyDescent="0.3">
      <c r="A1070" s="42"/>
      <c r="B1070" s="58"/>
      <c r="C1070" s="42"/>
      <c r="D1070" s="42"/>
      <c r="E1070" s="42"/>
      <c r="F1070" s="42"/>
    </row>
    <row r="1071" spans="1:6" x14ac:dyDescent="0.3">
      <c r="A1071" s="42"/>
      <c r="B1071" s="58"/>
      <c r="C1071" s="42"/>
      <c r="D1071" s="42"/>
      <c r="E1071" s="42"/>
      <c r="F1071" s="42"/>
    </row>
    <row r="1072" spans="1:6" x14ac:dyDescent="0.3">
      <c r="A1072" s="42"/>
      <c r="B1072" s="58"/>
      <c r="C1072" s="42"/>
      <c r="D1072" s="42"/>
      <c r="E1072" s="42"/>
      <c r="F1072" s="42"/>
    </row>
    <row r="1073" spans="1:6" x14ac:dyDescent="0.3">
      <c r="A1073" s="42"/>
      <c r="B1073" s="58"/>
      <c r="C1073" s="42"/>
      <c r="D1073" s="42"/>
      <c r="E1073" s="42"/>
      <c r="F1073" s="42"/>
    </row>
    <row r="1074" spans="1:6" x14ac:dyDescent="0.3">
      <c r="A1074" s="42"/>
      <c r="B1074" s="58"/>
      <c r="C1074" s="42"/>
      <c r="D1074" s="42"/>
      <c r="E1074" s="42"/>
      <c r="F1074" s="42"/>
    </row>
    <row r="1075" spans="1:6" x14ac:dyDescent="0.3">
      <c r="A1075" s="42"/>
      <c r="B1075" s="58"/>
      <c r="C1075" s="42"/>
      <c r="D1075" s="42"/>
      <c r="E1075" s="42"/>
      <c r="F1075" s="42"/>
    </row>
    <row r="1076" spans="1:6" x14ac:dyDescent="0.3">
      <c r="A1076" s="42"/>
      <c r="B1076" s="58"/>
      <c r="C1076" s="42"/>
      <c r="D1076" s="42"/>
      <c r="E1076" s="42"/>
      <c r="F1076" s="42"/>
    </row>
    <row r="1077" spans="1:6" x14ac:dyDescent="0.3">
      <c r="A1077" s="42"/>
      <c r="B1077" s="58"/>
      <c r="C1077" s="42"/>
      <c r="D1077" s="42"/>
      <c r="E1077" s="42"/>
      <c r="F1077" s="42"/>
    </row>
    <row r="1078" spans="1:6" x14ac:dyDescent="0.3">
      <c r="A1078" s="42"/>
      <c r="B1078" s="58"/>
      <c r="C1078" s="42"/>
      <c r="D1078" s="42"/>
      <c r="E1078" s="42"/>
      <c r="F1078" s="42"/>
    </row>
    <row r="1079" spans="1:6" x14ac:dyDescent="0.3">
      <c r="A1079" s="42"/>
      <c r="B1079" s="58"/>
      <c r="C1079" s="42"/>
      <c r="D1079" s="42"/>
      <c r="E1079" s="42"/>
      <c r="F1079" s="42"/>
    </row>
    <row r="1080" spans="1:6" x14ac:dyDescent="0.3">
      <c r="A1080" s="42"/>
      <c r="B1080" s="58"/>
      <c r="C1080" s="42"/>
      <c r="D1080" s="42"/>
      <c r="E1080" s="42"/>
      <c r="F1080" s="42"/>
    </row>
    <row r="1081" spans="1:6" x14ac:dyDescent="0.3">
      <c r="A1081" s="42"/>
      <c r="B1081" s="58"/>
      <c r="C1081" s="42"/>
      <c r="D1081" s="42"/>
      <c r="E1081" s="42"/>
      <c r="F1081" s="42"/>
    </row>
    <row r="1082" spans="1:6" x14ac:dyDescent="0.3">
      <c r="A1082" s="42"/>
      <c r="B1082" s="58"/>
      <c r="C1082" s="42"/>
      <c r="D1082" s="42"/>
      <c r="E1082" s="42"/>
      <c r="F1082" s="42"/>
    </row>
    <row r="1083" spans="1:6" x14ac:dyDescent="0.3">
      <c r="A1083" s="42"/>
      <c r="B1083" s="58"/>
      <c r="C1083" s="42"/>
      <c r="D1083" s="42"/>
      <c r="E1083" s="42"/>
      <c r="F1083" s="42"/>
    </row>
    <row r="1084" spans="1:6" x14ac:dyDescent="0.3">
      <c r="A1084" s="42"/>
      <c r="B1084" s="58"/>
      <c r="C1084" s="42"/>
      <c r="D1084" s="42"/>
      <c r="E1084" s="42"/>
      <c r="F1084" s="42"/>
    </row>
    <row r="1085" spans="1:6" x14ac:dyDescent="0.3">
      <c r="A1085" s="42"/>
      <c r="B1085" s="58"/>
      <c r="C1085" s="42"/>
      <c r="D1085" s="42"/>
      <c r="E1085" s="42"/>
      <c r="F1085" s="42"/>
    </row>
    <row r="1086" spans="1:6" x14ac:dyDescent="0.3">
      <c r="A1086" s="42"/>
      <c r="B1086" s="58"/>
      <c r="C1086" s="42"/>
      <c r="D1086" s="42"/>
      <c r="E1086" s="42"/>
      <c r="F1086" s="42"/>
    </row>
    <row r="1087" spans="1:6" x14ac:dyDescent="0.3">
      <c r="A1087" s="42"/>
      <c r="B1087" s="58"/>
      <c r="C1087" s="42"/>
      <c r="D1087" s="42"/>
      <c r="E1087" s="42"/>
      <c r="F1087" s="42"/>
    </row>
    <row r="1088" spans="1:6" x14ac:dyDescent="0.3">
      <c r="A1088" s="42"/>
      <c r="B1088" s="58"/>
      <c r="C1088" s="42"/>
      <c r="D1088" s="42"/>
      <c r="E1088" s="42"/>
      <c r="F1088" s="42"/>
    </row>
    <row r="1089" spans="1:6" x14ac:dyDescent="0.3">
      <c r="A1089" s="42"/>
      <c r="B1089" s="58"/>
      <c r="C1089" s="42"/>
      <c r="D1089" s="42"/>
      <c r="E1089" s="42"/>
      <c r="F1089" s="42"/>
    </row>
    <row r="1090" spans="1:6" x14ac:dyDescent="0.3">
      <c r="A1090" s="42"/>
      <c r="B1090" s="58"/>
      <c r="C1090" s="42"/>
      <c r="D1090" s="42"/>
      <c r="E1090" s="42"/>
      <c r="F1090" s="42"/>
    </row>
    <row r="1091" spans="1:6" x14ac:dyDescent="0.3">
      <c r="A1091" s="42"/>
      <c r="B1091" s="58"/>
      <c r="C1091" s="42"/>
      <c r="D1091" s="42"/>
      <c r="E1091" s="42"/>
      <c r="F1091" s="42"/>
    </row>
    <row r="1092" spans="1:6" x14ac:dyDescent="0.3">
      <c r="A1092" s="42"/>
      <c r="B1092" s="58"/>
      <c r="C1092" s="42"/>
      <c r="D1092" s="42"/>
      <c r="E1092" s="42"/>
      <c r="F1092" s="42"/>
    </row>
    <row r="1093" spans="1:6" x14ac:dyDescent="0.3">
      <c r="A1093" s="42"/>
      <c r="B1093" s="58"/>
      <c r="C1093" s="42"/>
      <c r="D1093" s="42"/>
      <c r="E1093" s="42"/>
      <c r="F1093" s="42"/>
    </row>
    <row r="1094" spans="1:6" x14ac:dyDescent="0.3">
      <c r="A1094" s="42"/>
      <c r="B1094" s="58"/>
      <c r="C1094" s="42"/>
      <c r="D1094" s="42"/>
      <c r="E1094" s="42"/>
      <c r="F1094" s="42"/>
    </row>
    <row r="1095" spans="1:6" x14ac:dyDescent="0.3">
      <c r="A1095" s="42"/>
      <c r="B1095" s="58"/>
      <c r="C1095" s="42"/>
      <c r="D1095" s="42"/>
      <c r="E1095" s="42"/>
      <c r="F1095" s="42"/>
    </row>
    <row r="1096" spans="1:6" x14ac:dyDescent="0.3">
      <c r="A1096" s="42"/>
      <c r="B1096" s="58"/>
      <c r="C1096" s="42"/>
      <c r="D1096" s="42"/>
      <c r="E1096" s="42"/>
      <c r="F1096" s="42"/>
    </row>
    <row r="1097" spans="1:6" x14ac:dyDescent="0.3">
      <c r="A1097" s="42"/>
      <c r="B1097" s="58"/>
      <c r="C1097" s="42"/>
      <c r="D1097" s="42"/>
      <c r="E1097" s="42"/>
      <c r="F1097" s="42"/>
    </row>
    <row r="1098" spans="1:6" x14ac:dyDescent="0.3">
      <c r="A1098" s="42"/>
      <c r="B1098" s="58"/>
      <c r="C1098" s="42"/>
      <c r="D1098" s="42"/>
      <c r="E1098" s="42"/>
      <c r="F1098" s="42"/>
    </row>
    <row r="1099" spans="1:6" x14ac:dyDescent="0.3">
      <c r="A1099" s="42"/>
      <c r="B1099" s="58"/>
      <c r="C1099" s="42"/>
      <c r="D1099" s="42"/>
      <c r="E1099" s="42"/>
      <c r="F1099" s="42"/>
    </row>
    <row r="1100" spans="1:6" x14ac:dyDescent="0.3">
      <c r="A1100" s="42"/>
      <c r="B1100" s="58"/>
      <c r="C1100" s="42"/>
      <c r="D1100" s="42"/>
      <c r="E1100" s="42"/>
      <c r="F1100" s="42"/>
    </row>
    <row r="1101" spans="1:6" x14ac:dyDescent="0.3">
      <c r="A1101" s="42"/>
      <c r="B1101" s="58"/>
      <c r="C1101" s="42"/>
      <c r="D1101" s="42"/>
      <c r="E1101" s="42"/>
      <c r="F1101" s="42"/>
    </row>
    <row r="1102" spans="1:6" x14ac:dyDescent="0.3">
      <c r="A1102" s="42"/>
      <c r="B1102" s="58"/>
      <c r="C1102" s="42"/>
      <c r="D1102" s="42"/>
      <c r="E1102" s="42"/>
      <c r="F1102" s="42"/>
    </row>
    <row r="1103" spans="1:6" x14ac:dyDescent="0.3">
      <c r="A1103" s="42"/>
      <c r="B1103" s="58"/>
      <c r="C1103" s="42"/>
      <c r="D1103" s="42"/>
      <c r="E1103" s="42"/>
      <c r="F1103" s="42"/>
    </row>
    <row r="1104" spans="1:6" x14ac:dyDescent="0.3">
      <c r="A1104" s="42"/>
      <c r="B1104" s="58"/>
      <c r="C1104" s="42"/>
      <c r="D1104" s="42"/>
      <c r="E1104" s="42"/>
      <c r="F1104" s="42"/>
    </row>
    <row r="1105" spans="1:6" x14ac:dyDescent="0.3">
      <c r="A1105" s="42"/>
      <c r="B1105" s="58"/>
      <c r="C1105" s="42"/>
      <c r="D1105" s="42"/>
      <c r="E1105" s="42"/>
      <c r="F1105" s="42"/>
    </row>
    <row r="1106" spans="1:6" x14ac:dyDescent="0.3">
      <c r="A1106" s="42"/>
      <c r="B1106" s="58"/>
      <c r="C1106" s="42"/>
      <c r="D1106" s="42"/>
      <c r="E1106" s="42"/>
      <c r="F1106" s="42"/>
    </row>
    <row r="1107" spans="1:6" x14ac:dyDescent="0.3">
      <c r="A1107" s="42"/>
      <c r="B1107" s="58"/>
      <c r="C1107" s="42"/>
      <c r="D1107" s="42"/>
      <c r="E1107" s="42"/>
      <c r="F1107" s="42"/>
    </row>
    <row r="1108" spans="1:6" x14ac:dyDescent="0.3">
      <c r="A1108" s="42"/>
      <c r="B1108" s="58"/>
      <c r="C1108" s="42"/>
      <c r="D1108" s="42"/>
      <c r="E1108" s="42"/>
      <c r="F1108" s="42"/>
    </row>
    <row r="1109" spans="1:6" x14ac:dyDescent="0.3">
      <c r="A1109" s="42"/>
      <c r="B1109" s="58"/>
      <c r="C1109" s="42"/>
      <c r="D1109" s="42"/>
      <c r="E1109" s="42"/>
      <c r="F1109" s="42"/>
    </row>
    <row r="1110" spans="1:6" x14ac:dyDescent="0.3">
      <c r="A1110" s="42"/>
      <c r="B1110" s="58"/>
      <c r="C1110" s="42"/>
      <c r="D1110" s="42"/>
      <c r="E1110" s="42"/>
      <c r="F1110" s="42"/>
    </row>
    <row r="1111" spans="1:6" x14ac:dyDescent="0.3">
      <c r="A1111" s="42"/>
      <c r="B1111" s="58"/>
      <c r="C1111" s="42"/>
      <c r="D1111" s="42"/>
      <c r="E1111" s="42"/>
      <c r="F1111" s="42"/>
    </row>
    <row r="1112" spans="1:6" x14ac:dyDescent="0.3">
      <c r="A1112" s="42"/>
      <c r="B1112" s="58"/>
      <c r="C1112" s="42"/>
      <c r="D1112" s="42"/>
      <c r="E1112" s="42"/>
      <c r="F1112" s="42"/>
    </row>
    <row r="1113" spans="1:6" x14ac:dyDescent="0.3">
      <c r="A1113" s="42"/>
      <c r="B1113" s="58"/>
      <c r="C1113" s="42"/>
      <c r="D1113" s="42"/>
      <c r="E1113" s="42"/>
      <c r="F1113" s="42"/>
    </row>
    <row r="1114" spans="1:6" x14ac:dyDescent="0.3">
      <c r="A1114" s="42"/>
      <c r="B1114" s="58"/>
      <c r="C1114" s="42"/>
      <c r="D1114" s="42"/>
      <c r="E1114" s="42"/>
      <c r="F1114" s="42"/>
    </row>
    <row r="1115" spans="1:6" x14ac:dyDescent="0.3">
      <c r="A1115" s="42"/>
      <c r="B1115" s="58"/>
      <c r="C1115" s="42"/>
      <c r="D1115" s="42"/>
      <c r="E1115" s="42"/>
      <c r="F1115" s="42"/>
    </row>
    <row r="1116" spans="1:6" x14ac:dyDescent="0.3">
      <c r="A1116" s="42"/>
      <c r="B1116" s="58"/>
      <c r="C1116" s="42"/>
      <c r="D1116" s="42"/>
      <c r="E1116" s="42"/>
      <c r="F1116" s="42"/>
    </row>
    <row r="1117" spans="1:6" x14ac:dyDescent="0.3">
      <c r="A1117" s="42"/>
      <c r="B1117" s="58"/>
      <c r="C1117" s="42"/>
      <c r="D1117" s="42"/>
      <c r="E1117" s="42"/>
      <c r="F1117" s="42"/>
    </row>
    <row r="1118" spans="1:6" x14ac:dyDescent="0.3">
      <c r="A1118" s="42"/>
      <c r="B1118" s="58"/>
      <c r="C1118" s="42"/>
      <c r="D1118" s="42"/>
      <c r="E1118" s="42"/>
      <c r="F1118" s="42"/>
    </row>
    <row r="1119" spans="1:6" x14ac:dyDescent="0.3">
      <c r="A1119" s="42"/>
      <c r="B1119" s="58"/>
      <c r="C1119" s="42"/>
      <c r="D1119" s="42"/>
      <c r="E1119" s="42"/>
      <c r="F1119" s="42"/>
    </row>
    <row r="1120" spans="1:6" x14ac:dyDescent="0.3">
      <c r="A1120" s="42"/>
      <c r="B1120" s="58"/>
      <c r="C1120" s="42"/>
      <c r="D1120" s="42"/>
      <c r="E1120" s="42"/>
      <c r="F1120" s="42"/>
    </row>
    <row r="1121" spans="1:6" x14ac:dyDescent="0.3">
      <c r="A1121" s="42"/>
      <c r="B1121" s="58"/>
      <c r="C1121" s="42"/>
      <c r="D1121" s="42"/>
      <c r="E1121" s="42"/>
      <c r="F1121" s="42"/>
    </row>
    <row r="1122" spans="1:6" x14ac:dyDescent="0.3">
      <c r="A1122" s="42"/>
      <c r="B1122" s="58"/>
      <c r="C1122" s="42"/>
      <c r="D1122" s="42"/>
      <c r="E1122" s="42"/>
      <c r="F1122" s="42"/>
    </row>
    <row r="1123" spans="1:6" x14ac:dyDescent="0.3">
      <c r="A1123" s="42"/>
      <c r="B1123" s="58"/>
      <c r="C1123" s="42"/>
      <c r="D1123" s="42"/>
      <c r="E1123" s="42"/>
      <c r="F1123" s="42"/>
    </row>
    <row r="1124" spans="1:6" x14ac:dyDescent="0.3">
      <c r="A1124" s="42"/>
      <c r="B1124" s="58"/>
      <c r="C1124" s="42"/>
      <c r="D1124" s="42"/>
      <c r="E1124" s="42"/>
      <c r="F1124" s="42"/>
    </row>
    <row r="1125" spans="1:6" x14ac:dyDescent="0.3">
      <c r="A1125" s="42"/>
      <c r="B1125" s="58"/>
      <c r="C1125" s="42"/>
      <c r="D1125" s="42"/>
      <c r="E1125" s="42"/>
      <c r="F1125" s="42"/>
    </row>
    <row r="1126" spans="1:6" x14ac:dyDescent="0.3">
      <c r="A1126" s="42"/>
      <c r="B1126" s="58"/>
      <c r="C1126" s="42"/>
      <c r="D1126" s="42"/>
      <c r="E1126" s="42"/>
      <c r="F1126" s="42"/>
    </row>
    <row r="1127" spans="1:6" x14ac:dyDescent="0.3">
      <c r="A1127" s="42"/>
      <c r="B1127" s="58"/>
      <c r="C1127" s="42"/>
      <c r="D1127" s="42"/>
      <c r="E1127" s="42"/>
      <c r="F1127" s="42"/>
    </row>
    <row r="1128" spans="1:6" x14ac:dyDescent="0.3">
      <c r="A1128" s="42"/>
      <c r="B1128" s="58"/>
      <c r="C1128" s="42"/>
      <c r="D1128" s="42"/>
      <c r="E1128" s="42"/>
      <c r="F1128" s="42"/>
    </row>
    <row r="1129" spans="1:6" x14ac:dyDescent="0.3">
      <c r="A1129" s="42"/>
      <c r="B1129" s="58"/>
      <c r="C1129" s="42"/>
      <c r="D1129" s="42"/>
      <c r="E1129" s="42"/>
      <c r="F1129" s="42"/>
    </row>
    <row r="1130" spans="1:6" x14ac:dyDescent="0.3">
      <c r="A1130" s="42"/>
      <c r="B1130" s="58"/>
      <c r="C1130" s="42"/>
      <c r="D1130" s="42"/>
      <c r="E1130" s="42"/>
      <c r="F1130" s="42"/>
    </row>
    <row r="1131" spans="1:6" x14ac:dyDescent="0.3">
      <c r="A1131" s="42"/>
      <c r="B1131" s="58"/>
      <c r="C1131" s="42"/>
      <c r="D1131" s="42"/>
      <c r="E1131" s="42"/>
      <c r="F1131" s="42"/>
    </row>
    <row r="1132" spans="1:6" x14ac:dyDescent="0.3">
      <c r="A1132" s="42"/>
      <c r="B1132" s="58"/>
      <c r="C1132" s="42"/>
      <c r="D1132" s="42"/>
      <c r="E1132" s="42"/>
      <c r="F1132" s="42"/>
    </row>
    <row r="1133" spans="1:6" x14ac:dyDescent="0.3">
      <c r="A1133" s="42"/>
      <c r="B1133" s="58"/>
      <c r="C1133" s="42"/>
      <c r="D1133" s="42"/>
      <c r="E1133" s="42"/>
      <c r="F1133" s="42"/>
    </row>
    <row r="1134" spans="1:6" x14ac:dyDescent="0.3">
      <c r="A1134" s="42"/>
      <c r="B1134" s="58"/>
      <c r="C1134" s="42"/>
      <c r="D1134" s="42"/>
      <c r="E1134" s="42"/>
      <c r="F1134" s="42"/>
    </row>
    <row r="1135" spans="1:6" x14ac:dyDescent="0.3">
      <c r="A1135" s="42"/>
      <c r="B1135" s="58"/>
      <c r="C1135" s="42"/>
      <c r="D1135" s="42"/>
      <c r="E1135" s="42"/>
      <c r="F1135" s="42"/>
    </row>
    <row r="1136" spans="1:6" x14ac:dyDescent="0.3">
      <c r="A1136" s="42"/>
      <c r="B1136" s="58"/>
      <c r="C1136" s="42"/>
      <c r="D1136" s="42"/>
      <c r="E1136" s="42"/>
      <c r="F1136" s="42"/>
    </row>
    <row r="1137" spans="1:6" x14ac:dyDescent="0.3">
      <c r="A1137" s="42"/>
      <c r="B1137" s="58"/>
      <c r="C1137" s="42"/>
      <c r="D1137" s="42"/>
      <c r="E1137" s="42"/>
      <c r="F1137" s="42"/>
    </row>
    <row r="1138" spans="1:6" x14ac:dyDescent="0.3">
      <c r="A1138" s="42"/>
      <c r="B1138" s="58"/>
      <c r="C1138" s="42"/>
      <c r="D1138" s="42"/>
      <c r="E1138" s="42"/>
      <c r="F1138" s="42"/>
    </row>
    <row r="1139" spans="1:6" x14ac:dyDescent="0.3">
      <c r="A1139" s="42"/>
      <c r="B1139" s="58"/>
      <c r="C1139" s="42"/>
      <c r="D1139" s="42"/>
      <c r="E1139" s="42"/>
      <c r="F1139" s="42"/>
    </row>
    <row r="1140" spans="1:6" x14ac:dyDescent="0.3">
      <c r="A1140" s="42"/>
      <c r="B1140" s="58"/>
      <c r="C1140" s="42"/>
      <c r="D1140" s="42"/>
      <c r="E1140" s="42"/>
      <c r="F1140" s="42"/>
    </row>
    <row r="1141" spans="1:6" x14ac:dyDescent="0.3">
      <c r="A1141" s="42"/>
      <c r="B1141" s="58"/>
      <c r="C1141" s="42"/>
      <c r="D1141" s="42"/>
      <c r="E1141" s="42"/>
      <c r="F1141" s="42"/>
    </row>
    <row r="1142" spans="1:6" x14ac:dyDescent="0.3">
      <c r="A1142" s="42"/>
      <c r="B1142" s="58"/>
      <c r="C1142" s="42"/>
      <c r="D1142" s="42"/>
      <c r="E1142" s="42"/>
      <c r="F1142" s="42"/>
    </row>
    <row r="1143" spans="1:6" x14ac:dyDescent="0.3">
      <c r="A1143" s="42"/>
      <c r="B1143" s="58"/>
      <c r="C1143" s="42"/>
      <c r="D1143" s="42"/>
      <c r="E1143" s="42"/>
      <c r="F1143" s="42"/>
    </row>
    <row r="1144" spans="1:6" x14ac:dyDescent="0.3">
      <c r="A1144" s="42"/>
      <c r="B1144" s="58"/>
      <c r="C1144" s="42"/>
      <c r="D1144" s="42"/>
      <c r="E1144" s="42"/>
      <c r="F1144" s="42"/>
    </row>
    <row r="1145" spans="1:6" x14ac:dyDescent="0.3">
      <c r="A1145" s="42"/>
      <c r="B1145" s="58"/>
      <c r="C1145" s="42"/>
      <c r="D1145" s="42"/>
      <c r="E1145" s="42"/>
      <c r="F1145" s="42"/>
    </row>
    <row r="1146" spans="1:6" x14ac:dyDescent="0.3">
      <c r="A1146" s="42"/>
      <c r="B1146" s="58"/>
      <c r="C1146" s="42"/>
      <c r="D1146" s="42"/>
      <c r="E1146" s="42"/>
      <c r="F1146" s="42"/>
    </row>
    <row r="1147" spans="1:6" x14ac:dyDescent="0.3">
      <c r="A1147" s="42"/>
      <c r="B1147" s="58"/>
      <c r="C1147" s="42"/>
      <c r="D1147" s="42"/>
      <c r="E1147" s="42"/>
      <c r="F1147" s="42"/>
    </row>
    <row r="1148" spans="1:6" x14ac:dyDescent="0.3">
      <c r="A1148" s="42"/>
      <c r="B1148" s="58"/>
      <c r="C1148" s="42"/>
      <c r="D1148" s="42"/>
      <c r="E1148" s="42"/>
      <c r="F1148" s="42"/>
    </row>
    <row r="1149" spans="1:6" x14ac:dyDescent="0.3">
      <c r="A1149" s="42"/>
      <c r="B1149" s="58"/>
      <c r="C1149" s="42"/>
      <c r="D1149" s="42"/>
      <c r="E1149" s="42"/>
      <c r="F1149" s="42"/>
    </row>
    <row r="1150" spans="1:6" x14ac:dyDescent="0.3">
      <c r="A1150" s="42"/>
      <c r="B1150" s="58"/>
      <c r="C1150" s="42"/>
      <c r="D1150" s="42"/>
      <c r="E1150" s="42"/>
      <c r="F1150" s="42"/>
    </row>
    <row r="1151" spans="1:6" x14ac:dyDescent="0.3">
      <c r="A1151" s="42"/>
      <c r="B1151" s="58"/>
      <c r="C1151" s="42"/>
      <c r="D1151" s="42"/>
      <c r="E1151" s="42"/>
      <c r="F1151" s="42"/>
    </row>
    <row r="1152" spans="1:6" x14ac:dyDescent="0.3">
      <c r="A1152" s="42"/>
      <c r="B1152" s="58"/>
      <c r="C1152" s="42"/>
      <c r="D1152" s="42"/>
      <c r="E1152" s="42"/>
      <c r="F1152" s="42"/>
    </row>
    <row r="1153" spans="1:6" x14ac:dyDescent="0.3">
      <c r="A1153" s="42"/>
      <c r="B1153" s="58"/>
      <c r="C1153" s="42"/>
      <c r="D1153" s="42"/>
      <c r="E1153" s="42"/>
      <c r="F1153" s="42"/>
    </row>
    <row r="1154" spans="1:6" x14ac:dyDescent="0.3">
      <c r="A1154" s="42"/>
      <c r="B1154" s="58"/>
      <c r="C1154" s="42"/>
      <c r="D1154" s="42"/>
      <c r="E1154" s="42"/>
      <c r="F1154" s="42"/>
    </row>
    <row r="1155" spans="1:6" x14ac:dyDescent="0.3">
      <c r="A1155" s="42"/>
      <c r="B1155" s="58"/>
      <c r="C1155" s="42"/>
      <c r="D1155" s="42"/>
      <c r="E1155" s="42"/>
      <c r="F1155" s="42"/>
    </row>
    <row r="1156" spans="1:6" x14ac:dyDescent="0.3">
      <c r="A1156" s="42"/>
      <c r="B1156" s="58"/>
      <c r="C1156" s="42"/>
      <c r="D1156" s="42"/>
      <c r="E1156" s="42"/>
      <c r="F1156" s="42"/>
    </row>
    <row r="1157" spans="1:6" x14ac:dyDescent="0.3">
      <c r="A1157" s="42"/>
      <c r="B1157" s="58"/>
      <c r="C1157" s="42"/>
      <c r="D1157" s="42"/>
      <c r="E1157" s="42"/>
      <c r="F1157" s="42"/>
    </row>
    <row r="1158" spans="1:6" x14ac:dyDescent="0.3">
      <c r="A1158" s="42"/>
      <c r="B1158" s="58"/>
      <c r="C1158" s="42"/>
      <c r="D1158" s="42"/>
      <c r="E1158" s="42"/>
      <c r="F1158" s="42"/>
    </row>
    <row r="1159" spans="1:6" x14ac:dyDescent="0.3">
      <c r="A1159" s="42"/>
      <c r="B1159" s="58"/>
      <c r="C1159" s="42"/>
      <c r="D1159" s="42"/>
      <c r="E1159" s="42"/>
      <c r="F1159" s="42"/>
    </row>
    <row r="1160" spans="1:6" x14ac:dyDescent="0.3">
      <c r="A1160" s="42"/>
      <c r="B1160" s="58"/>
      <c r="C1160" s="42"/>
      <c r="D1160" s="42"/>
      <c r="E1160" s="42"/>
      <c r="F1160" s="42"/>
    </row>
    <row r="1161" spans="1:6" x14ac:dyDescent="0.3">
      <c r="A1161" s="42"/>
      <c r="B1161" s="58"/>
      <c r="C1161" s="42"/>
      <c r="D1161" s="42"/>
      <c r="E1161" s="42"/>
      <c r="F1161" s="42"/>
    </row>
    <row r="1162" spans="1:6" x14ac:dyDescent="0.3">
      <c r="A1162" s="42"/>
      <c r="B1162" s="58"/>
      <c r="C1162" s="42"/>
      <c r="D1162" s="42"/>
      <c r="E1162" s="42"/>
      <c r="F1162" s="42"/>
    </row>
    <row r="1163" spans="1:6" x14ac:dyDescent="0.3">
      <c r="A1163" s="42"/>
      <c r="B1163" s="58"/>
      <c r="C1163" s="42"/>
      <c r="D1163" s="42"/>
      <c r="E1163" s="42"/>
      <c r="F1163" s="42"/>
    </row>
    <row r="1164" spans="1:6" x14ac:dyDescent="0.3">
      <c r="A1164" s="42"/>
      <c r="B1164" s="58"/>
      <c r="C1164" s="42"/>
      <c r="D1164" s="42"/>
      <c r="E1164" s="42"/>
      <c r="F1164" s="42"/>
    </row>
    <row r="1165" spans="1:6" x14ac:dyDescent="0.3">
      <c r="A1165" s="42"/>
      <c r="B1165" s="58"/>
      <c r="C1165" s="42"/>
      <c r="D1165" s="42"/>
      <c r="E1165" s="42"/>
      <c r="F1165" s="42"/>
    </row>
    <row r="1166" spans="1:6" x14ac:dyDescent="0.3">
      <c r="A1166" s="42"/>
      <c r="B1166" s="58"/>
      <c r="C1166" s="42"/>
      <c r="D1166" s="42"/>
      <c r="E1166" s="42"/>
      <c r="F1166" s="42"/>
    </row>
    <row r="1167" spans="1:6" x14ac:dyDescent="0.3">
      <c r="A1167" s="42"/>
      <c r="B1167" s="58"/>
      <c r="C1167" s="42"/>
      <c r="D1167" s="42"/>
      <c r="E1167" s="42"/>
      <c r="F1167" s="42"/>
    </row>
    <row r="1168" spans="1:6" x14ac:dyDescent="0.3">
      <c r="A1168" s="42"/>
      <c r="B1168" s="58"/>
      <c r="C1168" s="42"/>
      <c r="D1168" s="42"/>
      <c r="E1168" s="42"/>
      <c r="F1168" s="42"/>
    </row>
    <row r="1169" spans="1:6" x14ac:dyDescent="0.3">
      <c r="A1169" s="42"/>
      <c r="B1169" s="58"/>
      <c r="C1169" s="42"/>
      <c r="D1169" s="42"/>
      <c r="E1169" s="42"/>
      <c r="F1169" s="42"/>
    </row>
    <row r="1170" spans="1:6" x14ac:dyDescent="0.3">
      <c r="A1170" s="42"/>
      <c r="B1170" s="58"/>
      <c r="C1170" s="42"/>
      <c r="D1170" s="42"/>
      <c r="E1170" s="42"/>
      <c r="F1170" s="42"/>
    </row>
    <row r="1171" spans="1:6" x14ac:dyDescent="0.3">
      <c r="A1171" s="42"/>
      <c r="B1171" s="58"/>
      <c r="C1171" s="42"/>
      <c r="D1171" s="42"/>
      <c r="E1171" s="42"/>
      <c r="F1171" s="42"/>
    </row>
    <row r="1172" spans="1:6" x14ac:dyDescent="0.3">
      <c r="A1172" s="42"/>
      <c r="B1172" s="58"/>
      <c r="C1172" s="42"/>
      <c r="D1172" s="42"/>
      <c r="E1172" s="42"/>
      <c r="F1172" s="42"/>
    </row>
    <row r="1173" spans="1:6" x14ac:dyDescent="0.3">
      <c r="A1173" s="42"/>
      <c r="B1173" s="58"/>
      <c r="C1173" s="42"/>
      <c r="D1173" s="42"/>
      <c r="E1173" s="42"/>
      <c r="F1173" s="42"/>
    </row>
    <row r="1174" spans="1:6" x14ac:dyDescent="0.3">
      <c r="A1174" s="42"/>
      <c r="B1174" s="58"/>
      <c r="C1174" s="42"/>
      <c r="D1174" s="42"/>
      <c r="E1174" s="42"/>
      <c r="F1174" s="42"/>
    </row>
    <row r="1175" spans="1:6" x14ac:dyDescent="0.3">
      <c r="A1175" s="42"/>
      <c r="B1175" s="58"/>
      <c r="C1175" s="42"/>
      <c r="D1175" s="42"/>
      <c r="E1175" s="42"/>
      <c r="F1175" s="42"/>
    </row>
    <row r="1176" spans="1:6" x14ac:dyDescent="0.3">
      <c r="A1176" s="42"/>
      <c r="B1176" s="58"/>
      <c r="C1176" s="42"/>
      <c r="D1176" s="42"/>
      <c r="E1176" s="42"/>
      <c r="F1176" s="42"/>
    </row>
    <row r="1177" spans="1:6" x14ac:dyDescent="0.3">
      <c r="A1177" s="42"/>
      <c r="B1177" s="58"/>
      <c r="C1177" s="42"/>
      <c r="D1177" s="42"/>
      <c r="E1177" s="42"/>
      <c r="F1177" s="42"/>
    </row>
    <row r="1178" spans="1:6" x14ac:dyDescent="0.3">
      <c r="A1178" s="42"/>
      <c r="B1178" s="58"/>
      <c r="C1178" s="42"/>
      <c r="D1178" s="42"/>
      <c r="E1178" s="42"/>
      <c r="F1178" s="42"/>
    </row>
    <row r="1179" spans="1:6" x14ac:dyDescent="0.3">
      <c r="A1179" s="42"/>
      <c r="B1179" s="58"/>
      <c r="C1179" s="42"/>
      <c r="D1179" s="42"/>
      <c r="E1179" s="42"/>
      <c r="F1179" s="42"/>
    </row>
    <row r="1180" spans="1:6" x14ac:dyDescent="0.3">
      <c r="A1180" s="42"/>
      <c r="B1180" s="58"/>
      <c r="C1180" s="42"/>
      <c r="D1180" s="42"/>
      <c r="E1180" s="42"/>
      <c r="F1180" s="42"/>
    </row>
    <row r="1181" spans="1:6" x14ac:dyDescent="0.3">
      <c r="A1181" s="42"/>
      <c r="B1181" s="58"/>
      <c r="C1181" s="42"/>
      <c r="D1181" s="42"/>
      <c r="E1181" s="42"/>
      <c r="F1181" s="42"/>
    </row>
    <row r="1182" spans="1:6" x14ac:dyDescent="0.3">
      <c r="A1182" s="42"/>
      <c r="B1182" s="58"/>
      <c r="C1182" s="42"/>
      <c r="D1182" s="42"/>
      <c r="E1182" s="42"/>
      <c r="F1182" s="42"/>
    </row>
    <row r="1183" spans="1:6" x14ac:dyDescent="0.3">
      <c r="A1183" s="42"/>
      <c r="B1183" s="58"/>
      <c r="C1183" s="42"/>
      <c r="D1183" s="42"/>
      <c r="E1183" s="42"/>
      <c r="F1183" s="42"/>
    </row>
    <row r="1184" spans="1:6" x14ac:dyDescent="0.3">
      <c r="A1184" s="42"/>
      <c r="B1184" s="58"/>
      <c r="C1184" s="42"/>
      <c r="D1184" s="42"/>
      <c r="E1184" s="42"/>
      <c r="F1184" s="42"/>
    </row>
    <row r="1185" spans="1:6" x14ac:dyDescent="0.3">
      <c r="A1185" s="42"/>
      <c r="B1185" s="58"/>
      <c r="C1185" s="42"/>
      <c r="D1185" s="42"/>
      <c r="E1185" s="42"/>
      <c r="F1185" s="42"/>
    </row>
    <row r="1186" spans="1:6" x14ac:dyDescent="0.3">
      <c r="A1186" s="42"/>
      <c r="B1186" s="58"/>
      <c r="C1186" s="42"/>
      <c r="D1186" s="42"/>
      <c r="E1186" s="42"/>
      <c r="F1186" s="42"/>
    </row>
    <row r="1187" spans="1:6" x14ac:dyDescent="0.3">
      <c r="A1187" s="42"/>
      <c r="B1187" s="58"/>
      <c r="C1187" s="42"/>
      <c r="D1187" s="42"/>
      <c r="E1187" s="42"/>
      <c r="F1187" s="42"/>
    </row>
    <row r="1188" spans="1:6" x14ac:dyDescent="0.3">
      <c r="A1188" s="42"/>
      <c r="B1188" s="58"/>
      <c r="C1188" s="42"/>
      <c r="D1188" s="42"/>
      <c r="E1188" s="42"/>
      <c r="F1188" s="42"/>
    </row>
    <row r="1189" spans="1:6" x14ac:dyDescent="0.3">
      <c r="A1189" s="42"/>
      <c r="B1189" s="58"/>
      <c r="C1189" s="42"/>
      <c r="D1189" s="42"/>
      <c r="E1189" s="42"/>
      <c r="F1189" s="42"/>
    </row>
    <row r="1190" spans="1:6" x14ac:dyDescent="0.3">
      <c r="A1190" s="42"/>
      <c r="B1190" s="58"/>
      <c r="C1190" s="42"/>
      <c r="D1190" s="42"/>
      <c r="E1190" s="42"/>
      <c r="F1190" s="42"/>
    </row>
    <row r="1191" spans="1:6" x14ac:dyDescent="0.3">
      <c r="A1191" s="42"/>
      <c r="B1191" s="58"/>
      <c r="C1191" s="42"/>
      <c r="D1191" s="42"/>
      <c r="E1191" s="42"/>
      <c r="F1191" s="42"/>
    </row>
    <row r="1192" spans="1:6" x14ac:dyDescent="0.3">
      <c r="A1192" s="42"/>
      <c r="B1192" s="58"/>
      <c r="C1192" s="42"/>
      <c r="D1192" s="42"/>
      <c r="E1192" s="42"/>
      <c r="F1192" s="42"/>
    </row>
    <row r="1193" spans="1:6" x14ac:dyDescent="0.3">
      <c r="A1193" s="42"/>
      <c r="B1193" s="58"/>
      <c r="C1193" s="42"/>
      <c r="D1193" s="42"/>
      <c r="E1193" s="42"/>
      <c r="F1193" s="42"/>
    </row>
    <row r="1194" spans="1:6" x14ac:dyDescent="0.3">
      <c r="A1194" s="42"/>
      <c r="B1194" s="58"/>
      <c r="C1194" s="42"/>
      <c r="D1194" s="42"/>
      <c r="E1194" s="42"/>
      <c r="F1194" s="42"/>
    </row>
    <row r="1195" spans="1:6" x14ac:dyDescent="0.3">
      <c r="A1195" s="42"/>
      <c r="B1195" s="58"/>
      <c r="C1195" s="42"/>
      <c r="D1195" s="42"/>
      <c r="E1195" s="42"/>
      <c r="F1195" s="42"/>
    </row>
    <row r="1196" spans="1:6" x14ac:dyDescent="0.3">
      <c r="A1196" s="42"/>
      <c r="B1196" s="58"/>
      <c r="C1196" s="42"/>
      <c r="D1196" s="42"/>
      <c r="E1196" s="42"/>
      <c r="F1196" s="42"/>
    </row>
    <row r="1197" spans="1:6" x14ac:dyDescent="0.3">
      <c r="A1197" s="42"/>
      <c r="B1197" s="58"/>
      <c r="C1197" s="42"/>
      <c r="D1197" s="42"/>
      <c r="E1197" s="42"/>
      <c r="F1197" s="42"/>
    </row>
    <row r="1198" spans="1:6" x14ac:dyDescent="0.3">
      <c r="A1198" s="42"/>
      <c r="B1198" s="58"/>
      <c r="C1198" s="42"/>
      <c r="D1198" s="42"/>
      <c r="E1198" s="42"/>
      <c r="F1198" s="42"/>
    </row>
    <row r="1199" spans="1:6" x14ac:dyDescent="0.3">
      <c r="A1199" s="42"/>
      <c r="B1199" s="58"/>
      <c r="C1199" s="42"/>
      <c r="D1199" s="42"/>
      <c r="E1199" s="42"/>
      <c r="F1199" s="42"/>
    </row>
    <row r="1200" spans="1:6" x14ac:dyDescent="0.3">
      <c r="A1200" s="42"/>
      <c r="B1200" s="58"/>
      <c r="C1200" s="42"/>
      <c r="D1200" s="42"/>
      <c r="E1200" s="42"/>
      <c r="F1200" s="42"/>
    </row>
    <row r="1201" spans="1:6" x14ac:dyDescent="0.3">
      <c r="A1201" s="42"/>
      <c r="B1201" s="58"/>
      <c r="C1201" s="42"/>
      <c r="D1201" s="42"/>
      <c r="E1201" s="42"/>
      <c r="F1201" s="42"/>
    </row>
    <row r="1202" spans="1:6" x14ac:dyDescent="0.3">
      <c r="A1202" s="42"/>
      <c r="B1202" s="58"/>
      <c r="C1202" s="42"/>
      <c r="D1202" s="42"/>
      <c r="E1202" s="42"/>
      <c r="F1202" s="42"/>
    </row>
    <row r="1203" spans="1:6" x14ac:dyDescent="0.3">
      <c r="A1203" s="42"/>
      <c r="B1203" s="58"/>
      <c r="C1203" s="42"/>
      <c r="D1203" s="42"/>
      <c r="E1203" s="42"/>
      <c r="F1203" s="42"/>
    </row>
    <row r="1204" spans="1:6" x14ac:dyDescent="0.3">
      <c r="A1204" s="42"/>
      <c r="B1204" s="58"/>
      <c r="C1204" s="42"/>
      <c r="D1204" s="42"/>
      <c r="E1204" s="42"/>
      <c r="F1204" s="42"/>
    </row>
    <row r="1205" spans="1:6" x14ac:dyDescent="0.3">
      <c r="A1205" s="42"/>
      <c r="B1205" s="58"/>
      <c r="C1205" s="42"/>
      <c r="D1205" s="42"/>
      <c r="E1205" s="42"/>
      <c r="F1205" s="42"/>
    </row>
    <row r="1206" spans="1:6" x14ac:dyDescent="0.3">
      <c r="A1206" s="42"/>
      <c r="B1206" s="58"/>
      <c r="C1206" s="42"/>
      <c r="D1206" s="42"/>
      <c r="E1206" s="42"/>
      <c r="F1206" s="42"/>
    </row>
    <row r="1207" spans="1:6" x14ac:dyDescent="0.3">
      <c r="A1207" s="42"/>
      <c r="B1207" s="58"/>
      <c r="C1207" s="42"/>
      <c r="D1207" s="42"/>
      <c r="E1207" s="42"/>
      <c r="F1207" s="42"/>
    </row>
    <row r="1208" spans="1:6" x14ac:dyDescent="0.3">
      <c r="A1208" s="42"/>
      <c r="B1208" s="58"/>
      <c r="C1208" s="42"/>
      <c r="D1208" s="42"/>
      <c r="E1208" s="42"/>
      <c r="F1208" s="42"/>
    </row>
    <row r="1209" spans="1:6" x14ac:dyDescent="0.3">
      <c r="A1209" s="42"/>
      <c r="B1209" s="58"/>
      <c r="C1209" s="42"/>
      <c r="D1209" s="42"/>
      <c r="E1209" s="42"/>
      <c r="F1209" s="42"/>
    </row>
    <row r="1210" spans="1:6" x14ac:dyDescent="0.3">
      <c r="A1210" s="42"/>
      <c r="B1210" s="58"/>
      <c r="C1210" s="42"/>
      <c r="D1210" s="42"/>
      <c r="E1210" s="42"/>
      <c r="F1210" s="42"/>
    </row>
    <row r="1211" spans="1:6" x14ac:dyDescent="0.3">
      <c r="A1211" s="42"/>
      <c r="B1211" s="58"/>
      <c r="C1211" s="42"/>
      <c r="D1211" s="42"/>
      <c r="E1211" s="42"/>
      <c r="F1211" s="42"/>
    </row>
    <row r="1212" spans="1:6" x14ac:dyDescent="0.3">
      <c r="A1212" s="42"/>
      <c r="B1212" s="58"/>
      <c r="C1212" s="42"/>
      <c r="D1212" s="42"/>
      <c r="E1212" s="42"/>
      <c r="F1212" s="42"/>
    </row>
    <row r="1213" spans="1:6" x14ac:dyDescent="0.3">
      <c r="A1213" s="42"/>
      <c r="B1213" s="58"/>
      <c r="C1213" s="42"/>
      <c r="D1213" s="42"/>
      <c r="E1213" s="42"/>
      <c r="F1213" s="42"/>
    </row>
    <row r="1214" spans="1:6" x14ac:dyDescent="0.3">
      <c r="A1214" s="42"/>
      <c r="B1214" s="58"/>
      <c r="C1214" s="42"/>
      <c r="D1214" s="42"/>
      <c r="E1214" s="42"/>
      <c r="F1214" s="42"/>
    </row>
    <row r="1215" spans="1:6" x14ac:dyDescent="0.3">
      <c r="A1215" s="42"/>
      <c r="B1215" s="58"/>
      <c r="C1215" s="42"/>
      <c r="D1215" s="42"/>
      <c r="E1215" s="42"/>
      <c r="F1215" s="42"/>
    </row>
    <row r="1216" spans="1:6" x14ac:dyDescent="0.3">
      <c r="A1216" s="42"/>
      <c r="B1216" s="58"/>
      <c r="C1216" s="42"/>
      <c r="D1216" s="42"/>
      <c r="E1216" s="42"/>
      <c r="F1216" s="42"/>
    </row>
    <row r="1217" spans="1:6" x14ac:dyDescent="0.3">
      <c r="A1217" s="42"/>
      <c r="B1217" s="58"/>
      <c r="C1217" s="42"/>
      <c r="D1217" s="42"/>
      <c r="E1217" s="42"/>
      <c r="F1217" s="42"/>
    </row>
    <row r="1218" spans="1:6" x14ac:dyDescent="0.3">
      <c r="A1218" s="42"/>
      <c r="B1218" s="58"/>
      <c r="C1218" s="42"/>
      <c r="D1218" s="42"/>
      <c r="E1218" s="42"/>
      <c r="F1218" s="42"/>
    </row>
    <row r="1219" spans="1:6" x14ac:dyDescent="0.3">
      <c r="A1219" s="42"/>
      <c r="B1219" s="58"/>
      <c r="C1219" s="42"/>
      <c r="D1219" s="42"/>
      <c r="E1219" s="42"/>
      <c r="F1219" s="42"/>
    </row>
    <row r="1220" spans="1:6" x14ac:dyDescent="0.3">
      <c r="A1220" s="42"/>
      <c r="B1220" s="58"/>
      <c r="C1220" s="42"/>
      <c r="D1220" s="42"/>
      <c r="E1220" s="42"/>
      <c r="F1220" s="42"/>
    </row>
    <row r="1221" spans="1:6" x14ac:dyDescent="0.3">
      <c r="A1221" s="42"/>
      <c r="B1221" s="58"/>
      <c r="C1221" s="42"/>
      <c r="D1221" s="42"/>
      <c r="E1221" s="42"/>
      <c r="F1221" s="42"/>
    </row>
    <row r="1222" spans="1:6" x14ac:dyDescent="0.3">
      <c r="A1222" s="42"/>
      <c r="B1222" s="58"/>
      <c r="C1222" s="42"/>
      <c r="D1222" s="42"/>
      <c r="E1222" s="42"/>
      <c r="F1222" s="42"/>
    </row>
    <row r="1223" spans="1:6" x14ac:dyDescent="0.3">
      <c r="A1223" s="42"/>
      <c r="B1223" s="58"/>
      <c r="C1223" s="42"/>
      <c r="D1223" s="42"/>
      <c r="E1223" s="42"/>
      <c r="F1223" s="42"/>
    </row>
    <row r="1224" spans="1:6" x14ac:dyDescent="0.3">
      <c r="A1224" s="42"/>
      <c r="B1224" s="58"/>
      <c r="C1224" s="42"/>
      <c r="D1224" s="42"/>
      <c r="E1224" s="42"/>
      <c r="F1224" s="42"/>
    </row>
    <row r="1225" spans="1:6" x14ac:dyDescent="0.3">
      <c r="A1225" s="42"/>
      <c r="B1225" s="58"/>
      <c r="C1225" s="42"/>
      <c r="D1225" s="42"/>
      <c r="E1225" s="42"/>
      <c r="F1225" s="42"/>
    </row>
    <row r="1226" spans="1:6" x14ac:dyDescent="0.3">
      <c r="A1226" s="42"/>
      <c r="B1226" s="58"/>
      <c r="C1226" s="42"/>
      <c r="D1226" s="42"/>
      <c r="E1226" s="42"/>
      <c r="F1226" s="42"/>
    </row>
    <row r="1227" spans="1:6" x14ac:dyDescent="0.3">
      <c r="A1227" s="42"/>
      <c r="B1227" s="58"/>
      <c r="C1227" s="42"/>
      <c r="D1227" s="42"/>
      <c r="E1227" s="42"/>
      <c r="F1227" s="42"/>
    </row>
    <row r="1228" spans="1:6" x14ac:dyDescent="0.3">
      <c r="A1228" s="42"/>
      <c r="B1228" s="58"/>
      <c r="C1228" s="42"/>
      <c r="D1228" s="42"/>
      <c r="E1228" s="42"/>
      <c r="F1228" s="42"/>
    </row>
    <row r="1229" spans="1:6" x14ac:dyDescent="0.3">
      <c r="A1229" s="42"/>
      <c r="B1229" s="58"/>
      <c r="C1229" s="42"/>
      <c r="D1229" s="42"/>
      <c r="E1229" s="42"/>
      <c r="F1229" s="42"/>
    </row>
    <row r="1230" spans="1:6" x14ac:dyDescent="0.3">
      <c r="A1230" s="42"/>
      <c r="B1230" s="58"/>
      <c r="C1230" s="42"/>
      <c r="D1230" s="42"/>
      <c r="E1230" s="42"/>
      <c r="F1230" s="42"/>
    </row>
    <row r="1231" spans="1:6" x14ac:dyDescent="0.3">
      <c r="A1231" s="42"/>
      <c r="B1231" s="58"/>
      <c r="C1231" s="42"/>
      <c r="D1231" s="42"/>
      <c r="E1231" s="42"/>
      <c r="F1231" s="42"/>
    </row>
    <row r="1232" spans="1:6" x14ac:dyDescent="0.3">
      <c r="A1232" s="42"/>
      <c r="B1232" s="58"/>
      <c r="C1232" s="42"/>
      <c r="D1232" s="42"/>
      <c r="E1232" s="42"/>
      <c r="F1232" s="42"/>
    </row>
    <row r="1233" spans="1:6" x14ac:dyDescent="0.3">
      <c r="A1233" s="42"/>
      <c r="B1233" s="58"/>
      <c r="C1233" s="42"/>
      <c r="D1233" s="42"/>
      <c r="E1233" s="42"/>
      <c r="F1233" s="42"/>
    </row>
    <row r="1234" spans="1:6" x14ac:dyDescent="0.3">
      <c r="A1234" s="42"/>
      <c r="B1234" s="58"/>
      <c r="C1234" s="42"/>
      <c r="D1234" s="42"/>
      <c r="E1234" s="42"/>
      <c r="F1234" s="42"/>
    </row>
    <row r="1235" spans="1:6" x14ac:dyDescent="0.3">
      <c r="A1235" s="42"/>
      <c r="B1235" s="58"/>
      <c r="C1235" s="42"/>
      <c r="D1235" s="42"/>
      <c r="E1235" s="42"/>
      <c r="F1235" s="42"/>
    </row>
    <row r="1236" spans="1:6" x14ac:dyDescent="0.3">
      <c r="A1236" s="42"/>
      <c r="B1236" s="58"/>
      <c r="C1236" s="42"/>
      <c r="D1236" s="42"/>
      <c r="E1236" s="42"/>
      <c r="F1236" s="42"/>
    </row>
    <row r="1237" spans="1:6" x14ac:dyDescent="0.3">
      <c r="A1237" s="42"/>
      <c r="B1237" s="58"/>
      <c r="C1237" s="42"/>
      <c r="D1237" s="42"/>
      <c r="E1237" s="42"/>
      <c r="F1237" s="42"/>
    </row>
    <row r="1238" spans="1:6" x14ac:dyDescent="0.3">
      <c r="A1238" s="42"/>
      <c r="B1238" s="58"/>
      <c r="C1238" s="42"/>
      <c r="D1238" s="42"/>
      <c r="E1238" s="42"/>
      <c r="F1238" s="42"/>
    </row>
    <row r="1239" spans="1:6" x14ac:dyDescent="0.3">
      <c r="A1239" s="42"/>
      <c r="B1239" s="58"/>
      <c r="C1239" s="42"/>
      <c r="D1239" s="42"/>
      <c r="E1239" s="42"/>
      <c r="F1239" s="42"/>
    </row>
    <row r="1240" spans="1:6" x14ac:dyDescent="0.3">
      <c r="A1240" s="42"/>
      <c r="B1240" s="58"/>
      <c r="C1240" s="42"/>
      <c r="D1240" s="42"/>
      <c r="E1240" s="42"/>
      <c r="F1240" s="42"/>
    </row>
    <row r="1241" spans="1:6" x14ac:dyDescent="0.3">
      <c r="A1241" s="42"/>
      <c r="B1241" s="58"/>
      <c r="C1241" s="42"/>
      <c r="D1241" s="42"/>
      <c r="E1241" s="42"/>
      <c r="F1241" s="42"/>
    </row>
    <row r="1242" spans="1:6" x14ac:dyDescent="0.3">
      <c r="A1242" s="42"/>
      <c r="B1242" s="58"/>
      <c r="C1242" s="42"/>
      <c r="D1242" s="42"/>
      <c r="E1242" s="42"/>
      <c r="F1242" s="42"/>
    </row>
    <row r="1243" spans="1:6" x14ac:dyDescent="0.3">
      <c r="A1243" s="42"/>
      <c r="B1243" s="58"/>
      <c r="C1243" s="42"/>
      <c r="D1243" s="42"/>
      <c r="E1243" s="42"/>
      <c r="F1243" s="42"/>
    </row>
    <row r="1244" spans="1:6" x14ac:dyDescent="0.3">
      <c r="A1244" s="42"/>
      <c r="B1244" s="58"/>
      <c r="C1244" s="42"/>
      <c r="D1244" s="42"/>
      <c r="E1244" s="42"/>
      <c r="F1244" s="42"/>
    </row>
    <row r="1245" spans="1:6" x14ac:dyDescent="0.3">
      <c r="A1245" s="42"/>
      <c r="B1245" s="58"/>
      <c r="C1245" s="42"/>
      <c r="D1245" s="42"/>
      <c r="E1245" s="42"/>
      <c r="F1245" s="42"/>
    </row>
    <row r="1246" spans="1:6" x14ac:dyDescent="0.3">
      <c r="A1246" s="42"/>
      <c r="B1246" s="58"/>
      <c r="C1246" s="42"/>
      <c r="D1246" s="42"/>
      <c r="E1246" s="42"/>
      <c r="F1246" s="42"/>
    </row>
    <row r="1247" spans="1:6" x14ac:dyDescent="0.3">
      <c r="A1247" s="42"/>
      <c r="B1247" s="58"/>
      <c r="C1247" s="42"/>
      <c r="D1247" s="42"/>
      <c r="E1247" s="42"/>
      <c r="F1247" s="42"/>
    </row>
    <row r="1248" spans="1:6" x14ac:dyDescent="0.3">
      <c r="A1248" s="42"/>
      <c r="B1248" s="58"/>
      <c r="C1248" s="42"/>
      <c r="D1248" s="42"/>
      <c r="E1248" s="42"/>
      <c r="F1248" s="42"/>
    </row>
    <row r="1249" spans="1:6" x14ac:dyDescent="0.3">
      <c r="A1249" s="42"/>
      <c r="B1249" s="58"/>
      <c r="C1249" s="42"/>
      <c r="D1249" s="42"/>
      <c r="E1249" s="42"/>
      <c r="F1249" s="42"/>
    </row>
    <row r="1250" spans="1:6" x14ac:dyDescent="0.3">
      <c r="A1250" s="42"/>
      <c r="B1250" s="58"/>
      <c r="C1250" s="42"/>
      <c r="D1250" s="42"/>
      <c r="E1250" s="42"/>
      <c r="F1250" s="42"/>
    </row>
    <row r="1251" spans="1:6" x14ac:dyDescent="0.3">
      <c r="A1251" s="42"/>
      <c r="B1251" s="58"/>
      <c r="C1251" s="42"/>
      <c r="D1251" s="42"/>
      <c r="E1251" s="42"/>
      <c r="F1251" s="42"/>
    </row>
    <row r="1252" spans="1:6" x14ac:dyDescent="0.3">
      <c r="A1252" s="42"/>
      <c r="B1252" s="58"/>
      <c r="C1252" s="42"/>
      <c r="D1252" s="42"/>
      <c r="E1252" s="42"/>
      <c r="F1252" s="42"/>
    </row>
    <row r="1253" spans="1:6" x14ac:dyDescent="0.3">
      <c r="A1253" s="42"/>
      <c r="B1253" s="58"/>
      <c r="C1253" s="42"/>
      <c r="D1253" s="42"/>
      <c r="E1253" s="42"/>
      <c r="F1253" s="42"/>
    </row>
    <row r="1254" spans="1:6" x14ac:dyDescent="0.3">
      <c r="A1254" s="42"/>
      <c r="B1254" s="58"/>
      <c r="C1254" s="42"/>
      <c r="D1254" s="42"/>
      <c r="E1254" s="42"/>
      <c r="F1254" s="42"/>
    </row>
    <row r="1255" spans="1:6" x14ac:dyDescent="0.3">
      <c r="A1255" s="42"/>
      <c r="B1255" s="58"/>
      <c r="C1255" s="42"/>
      <c r="D1255" s="42"/>
      <c r="E1255" s="42"/>
      <c r="F1255" s="42"/>
    </row>
    <row r="1256" spans="1:6" x14ac:dyDescent="0.3">
      <c r="A1256" s="42"/>
      <c r="B1256" s="58"/>
      <c r="C1256" s="42"/>
      <c r="D1256" s="42"/>
      <c r="E1256" s="42"/>
      <c r="F1256" s="42"/>
    </row>
    <row r="1257" spans="1:6" x14ac:dyDescent="0.3">
      <c r="A1257" s="42"/>
      <c r="B1257" s="58"/>
      <c r="C1257" s="42"/>
      <c r="D1257" s="42"/>
      <c r="E1257" s="42"/>
      <c r="F1257" s="42"/>
    </row>
    <row r="1258" spans="1:6" x14ac:dyDescent="0.3">
      <c r="A1258" s="42"/>
      <c r="B1258" s="58"/>
      <c r="C1258" s="42"/>
      <c r="D1258" s="42"/>
      <c r="E1258" s="42"/>
      <c r="F1258" s="42"/>
    </row>
    <row r="1259" spans="1:6" x14ac:dyDescent="0.3">
      <c r="A1259" s="42"/>
      <c r="B1259" s="58"/>
      <c r="C1259" s="42"/>
      <c r="D1259" s="42"/>
      <c r="E1259" s="42"/>
      <c r="F1259" s="42"/>
    </row>
    <row r="1260" spans="1:6" x14ac:dyDescent="0.3">
      <c r="A1260" s="42"/>
      <c r="B1260" s="58"/>
      <c r="C1260" s="42"/>
      <c r="D1260" s="42"/>
      <c r="E1260" s="42"/>
      <c r="F1260" s="42"/>
    </row>
    <row r="1261" spans="1:6" x14ac:dyDescent="0.3">
      <c r="A1261" s="42"/>
      <c r="B1261" s="58"/>
      <c r="C1261" s="42"/>
      <c r="D1261" s="42"/>
      <c r="E1261" s="42"/>
      <c r="F1261" s="42"/>
    </row>
    <row r="1262" spans="1:6" x14ac:dyDescent="0.3">
      <c r="A1262" s="42"/>
      <c r="B1262" s="58"/>
      <c r="C1262" s="42"/>
      <c r="D1262" s="42"/>
      <c r="E1262" s="42"/>
      <c r="F1262" s="42"/>
    </row>
    <row r="1263" spans="1:6" x14ac:dyDescent="0.3">
      <c r="A1263" s="42"/>
      <c r="B1263" s="58"/>
      <c r="C1263" s="42"/>
      <c r="D1263" s="42"/>
      <c r="E1263" s="42"/>
      <c r="F1263" s="42"/>
    </row>
    <row r="1264" spans="1:6" x14ac:dyDescent="0.3">
      <c r="A1264" s="42"/>
      <c r="B1264" s="58"/>
      <c r="C1264" s="42"/>
      <c r="D1264" s="42"/>
      <c r="E1264" s="42"/>
      <c r="F1264" s="42"/>
    </row>
    <row r="1265" spans="1:6" x14ac:dyDescent="0.3">
      <c r="A1265" s="42"/>
      <c r="B1265" s="58"/>
      <c r="C1265" s="42"/>
      <c r="D1265" s="42"/>
      <c r="E1265" s="42"/>
      <c r="F1265" s="42"/>
    </row>
    <row r="1266" spans="1:6" x14ac:dyDescent="0.3">
      <c r="A1266" s="42"/>
      <c r="B1266" s="58"/>
      <c r="C1266" s="42"/>
      <c r="D1266" s="42"/>
      <c r="E1266" s="42"/>
      <c r="F1266" s="42"/>
    </row>
    <row r="1267" spans="1:6" x14ac:dyDescent="0.3">
      <c r="A1267" s="42"/>
      <c r="B1267" s="58"/>
      <c r="C1267" s="42"/>
      <c r="D1267" s="42"/>
      <c r="E1267" s="42"/>
      <c r="F1267" s="42"/>
    </row>
    <row r="1268" spans="1:6" x14ac:dyDescent="0.3">
      <c r="A1268" s="42"/>
      <c r="B1268" s="58"/>
      <c r="C1268" s="42"/>
      <c r="D1268" s="42"/>
      <c r="E1268" s="42"/>
      <c r="F1268" s="42"/>
    </row>
    <row r="1269" spans="1:6" x14ac:dyDescent="0.3">
      <c r="A1269" s="42"/>
      <c r="B1269" s="58"/>
      <c r="C1269" s="42"/>
      <c r="D1269" s="42"/>
      <c r="E1269" s="42"/>
      <c r="F1269" s="42"/>
    </row>
    <row r="1270" spans="1:6" x14ac:dyDescent="0.3">
      <c r="A1270" s="42"/>
      <c r="B1270" s="58"/>
      <c r="C1270" s="42"/>
      <c r="D1270" s="42"/>
      <c r="E1270" s="42"/>
      <c r="F1270" s="42"/>
    </row>
    <row r="1271" spans="1:6" x14ac:dyDescent="0.3">
      <c r="A1271" s="42"/>
      <c r="B1271" s="58"/>
      <c r="C1271" s="42"/>
      <c r="D1271" s="42"/>
      <c r="E1271" s="42"/>
      <c r="F1271" s="42"/>
    </row>
    <row r="1272" spans="1:6" x14ac:dyDescent="0.3">
      <c r="A1272" s="42"/>
      <c r="B1272" s="58"/>
      <c r="C1272" s="42"/>
      <c r="D1272" s="42"/>
      <c r="E1272" s="42"/>
      <c r="F1272" s="42"/>
    </row>
    <row r="1273" spans="1:6" x14ac:dyDescent="0.3">
      <c r="A1273" s="42"/>
      <c r="B1273" s="58"/>
      <c r="C1273" s="42"/>
      <c r="D1273" s="42"/>
      <c r="E1273" s="42"/>
      <c r="F1273" s="42"/>
    </row>
    <row r="1274" spans="1:6" x14ac:dyDescent="0.3">
      <c r="A1274" s="42"/>
      <c r="B1274" s="58"/>
      <c r="C1274" s="42"/>
      <c r="D1274" s="42"/>
      <c r="E1274" s="42"/>
      <c r="F1274" s="42"/>
    </row>
    <row r="1275" spans="1:6" x14ac:dyDescent="0.3">
      <c r="A1275" s="42"/>
      <c r="B1275" s="58"/>
      <c r="C1275" s="42"/>
      <c r="D1275" s="42"/>
      <c r="E1275" s="42"/>
      <c r="F1275" s="42"/>
    </row>
    <row r="1276" spans="1:6" x14ac:dyDescent="0.3">
      <c r="A1276" s="42"/>
      <c r="B1276" s="58"/>
      <c r="C1276" s="42"/>
      <c r="D1276" s="42"/>
      <c r="E1276" s="42"/>
      <c r="F1276" s="42"/>
    </row>
    <row r="1277" spans="1:6" x14ac:dyDescent="0.3">
      <c r="A1277" s="42"/>
      <c r="B1277" s="58"/>
      <c r="C1277" s="42"/>
      <c r="D1277" s="42"/>
      <c r="E1277" s="42"/>
      <c r="F1277" s="42"/>
    </row>
    <row r="1278" spans="1:6" x14ac:dyDescent="0.3">
      <c r="A1278" s="42"/>
      <c r="B1278" s="58"/>
      <c r="C1278" s="42"/>
      <c r="D1278" s="42"/>
      <c r="E1278" s="42"/>
      <c r="F1278" s="42"/>
    </row>
    <row r="1279" spans="1:6" x14ac:dyDescent="0.3">
      <c r="A1279" s="42"/>
      <c r="B1279" s="58"/>
      <c r="C1279" s="42"/>
      <c r="D1279" s="42"/>
      <c r="E1279" s="42"/>
      <c r="F1279" s="42"/>
    </row>
    <row r="1280" spans="1:6" x14ac:dyDescent="0.3">
      <c r="A1280" s="42"/>
      <c r="B1280" s="58"/>
      <c r="C1280" s="42"/>
      <c r="D1280" s="42"/>
      <c r="E1280" s="42"/>
      <c r="F1280" s="42"/>
    </row>
    <row r="1281" spans="1:6" x14ac:dyDescent="0.3">
      <c r="A1281" s="42"/>
      <c r="B1281" s="58"/>
      <c r="C1281" s="42"/>
      <c r="D1281" s="42"/>
      <c r="E1281" s="42"/>
      <c r="F1281" s="42"/>
    </row>
    <row r="1282" spans="1:6" x14ac:dyDescent="0.3">
      <c r="A1282" s="42"/>
      <c r="B1282" s="58"/>
      <c r="C1282" s="42"/>
      <c r="D1282" s="42"/>
      <c r="E1282" s="42"/>
      <c r="F1282" s="42"/>
    </row>
    <row r="1283" spans="1:6" x14ac:dyDescent="0.3">
      <c r="A1283" s="42"/>
      <c r="B1283" s="58"/>
      <c r="C1283" s="42"/>
      <c r="D1283" s="42"/>
      <c r="E1283" s="42"/>
      <c r="F1283" s="42"/>
    </row>
    <row r="1284" spans="1:6" x14ac:dyDescent="0.3">
      <c r="A1284" s="42"/>
      <c r="B1284" s="58"/>
      <c r="C1284" s="42"/>
      <c r="D1284" s="42"/>
      <c r="E1284" s="42"/>
      <c r="F1284" s="42"/>
    </row>
    <row r="1285" spans="1:6" x14ac:dyDescent="0.3">
      <c r="A1285" s="42"/>
      <c r="B1285" s="58"/>
      <c r="C1285" s="42"/>
      <c r="D1285" s="42"/>
      <c r="E1285" s="42"/>
      <c r="F1285" s="42"/>
    </row>
    <row r="1286" spans="1:6" x14ac:dyDescent="0.3">
      <c r="A1286" s="42"/>
      <c r="B1286" s="58"/>
      <c r="C1286" s="42"/>
      <c r="D1286" s="42"/>
      <c r="E1286" s="42"/>
      <c r="F1286" s="42"/>
    </row>
    <row r="1287" spans="1:6" x14ac:dyDescent="0.3">
      <c r="A1287" s="42"/>
      <c r="B1287" s="58"/>
      <c r="C1287" s="42"/>
      <c r="D1287" s="42"/>
      <c r="E1287" s="42"/>
      <c r="F1287" s="42"/>
    </row>
    <row r="1288" spans="1:6" x14ac:dyDescent="0.3">
      <c r="A1288" s="42"/>
      <c r="B1288" s="58"/>
      <c r="C1288" s="42"/>
      <c r="D1288" s="42"/>
      <c r="E1288" s="42"/>
      <c r="F1288" s="42"/>
    </row>
    <row r="1289" spans="1:6" x14ac:dyDescent="0.3">
      <c r="A1289" s="42"/>
      <c r="B1289" s="58"/>
      <c r="C1289" s="42"/>
      <c r="D1289" s="42"/>
      <c r="E1289" s="42"/>
      <c r="F1289" s="42"/>
    </row>
    <row r="1290" spans="1:6" x14ac:dyDescent="0.3">
      <c r="A1290" s="42"/>
      <c r="B1290" s="58"/>
      <c r="C1290" s="42"/>
      <c r="D1290" s="42"/>
      <c r="E1290" s="42"/>
      <c r="F1290" s="42"/>
    </row>
    <row r="1291" spans="1:6" x14ac:dyDescent="0.3">
      <c r="A1291" s="42"/>
      <c r="B1291" s="58"/>
      <c r="C1291" s="42"/>
      <c r="D1291" s="42"/>
      <c r="E1291" s="42"/>
      <c r="F1291" s="42"/>
    </row>
    <row r="1292" spans="1:6" x14ac:dyDescent="0.3">
      <c r="A1292" s="42"/>
      <c r="B1292" s="58"/>
      <c r="C1292" s="42"/>
      <c r="D1292" s="42"/>
      <c r="E1292" s="42"/>
      <c r="F1292" s="42"/>
    </row>
    <row r="1293" spans="1:6" x14ac:dyDescent="0.3">
      <c r="A1293" s="42"/>
      <c r="B1293" s="58"/>
      <c r="C1293" s="42"/>
      <c r="D1293" s="42"/>
      <c r="E1293" s="42"/>
      <c r="F1293" s="42"/>
    </row>
    <row r="1294" spans="1:6" x14ac:dyDescent="0.3">
      <c r="A1294" s="42"/>
      <c r="B1294" s="58"/>
      <c r="C1294" s="42"/>
      <c r="D1294" s="42"/>
      <c r="E1294" s="42"/>
      <c r="F1294" s="42"/>
    </row>
    <row r="1295" spans="1:6" x14ac:dyDescent="0.3">
      <c r="A1295" s="42"/>
      <c r="B1295" s="58"/>
      <c r="C1295" s="42"/>
      <c r="D1295" s="42"/>
      <c r="E1295" s="42"/>
      <c r="F1295" s="42"/>
    </row>
    <row r="1296" spans="1:6" x14ac:dyDescent="0.3">
      <c r="A1296" s="42"/>
      <c r="B1296" s="58"/>
      <c r="C1296" s="42"/>
      <c r="D1296" s="42"/>
      <c r="E1296" s="42"/>
      <c r="F1296" s="42"/>
    </row>
    <row r="1297" spans="1:6" x14ac:dyDescent="0.3">
      <c r="A1297" s="42"/>
      <c r="B1297" s="58"/>
      <c r="C1297" s="42"/>
      <c r="D1297" s="42"/>
      <c r="E1297" s="42"/>
      <c r="F1297" s="42"/>
    </row>
    <row r="1298" spans="1:6" x14ac:dyDescent="0.3">
      <c r="A1298" s="42"/>
      <c r="B1298" s="58"/>
      <c r="C1298" s="42"/>
      <c r="D1298" s="42"/>
      <c r="E1298" s="42"/>
      <c r="F1298" s="42"/>
    </row>
    <row r="1299" spans="1:6" x14ac:dyDescent="0.3">
      <c r="A1299" s="42"/>
      <c r="B1299" s="58"/>
      <c r="C1299" s="42"/>
      <c r="D1299" s="42"/>
      <c r="E1299" s="42"/>
      <c r="F1299" s="42"/>
    </row>
    <row r="1300" spans="1:6" x14ac:dyDescent="0.3">
      <c r="A1300" s="42"/>
      <c r="B1300" s="58"/>
      <c r="C1300" s="42"/>
      <c r="D1300" s="42"/>
      <c r="E1300" s="42"/>
      <c r="F1300" s="42"/>
    </row>
    <row r="1301" spans="1:6" x14ac:dyDescent="0.3">
      <c r="A1301" s="42"/>
      <c r="B1301" s="58"/>
      <c r="C1301" s="42"/>
      <c r="D1301" s="42"/>
      <c r="E1301" s="42"/>
      <c r="F1301" s="42"/>
    </row>
    <row r="1302" spans="1:6" x14ac:dyDescent="0.3">
      <c r="A1302" s="42"/>
      <c r="B1302" s="58"/>
      <c r="C1302" s="42"/>
      <c r="D1302" s="42"/>
      <c r="E1302" s="42"/>
      <c r="F1302" s="42"/>
    </row>
    <row r="1303" spans="1:6" x14ac:dyDescent="0.3">
      <c r="A1303" s="42"/>
      <c r="B1303" s="58"/>
      <c r="C1303" s="42"/>
      <c r="D1303" s="42"/>
      <c r="E1303" s="42"/>
      <c r="F1303" s="42"/>
    </row>
    <row r="1304" spans="1:6" x14ac:dyDescent="0.3">
      <c r="A1304" s="42"/>
      <c r="B1304" s="58"/>
      <c r="C1304" s="42"/>
      <c r="D1304" s="42"/>
      <c r="E1304" s="42"/>
      <c r="F1304" s="42"/>
    </row>
    <row r="1305" spans="1:6" x14ac:dyDescent="0.3">
      <c r="A1305" s="42"/>
      <c r="B1305" s="58"/>
      <c r="C1305" s="42"/>
      <c r="D1305" s="42"/>
      <c r="E1305" s="42"/>
      <c r="F1305" s="42"/>
    </row>
    <row r="1306" spans="1:6" x14ac:dyDescent="0.3">
      <c r="A1306" s="42"/>
      <c r="B1306" s="58"/>
      <c r="C1306" s="42"/>
      <c r="D1306" s="42"/>
      <c r="E1306" s="42"/>
      <c r="F1306" s="42"/>
    </row>
    <row r="1307" spans="1:6" x14ac:dyDescent="0.3">
      <c r="A1307" s="42"/>
      <c r="B1307" s="58"/>
      <c r="C1307" s="42"/>
      <c r="D1307" s="42"/>
      <c r="E1307" s="42"/>
      <c r="F1307" s="42"/>
    </row>
    <row r="1308" spans="1:6" x14ac:dyDescent="0.3">
      <c r="A1308" s="42"/>
      <c r="B1308" s="58"/>
      <c r="C1308" s="42"/>
      <c r="D1308" s="42"/>
      <c r="E1308" s="42"/>
      <c r="F1308" s="42"/>
    </row>
    <row r="1309" spans="1:6" x14ac:dyDescent="0.3">
      <c r="A1309" s="42"/>
      <c r="B1309" s="58"/>
      <c r="C1309" s="42"/>
      <c r="D1309" s="42"/>
      <c r="E1309" s="42"/>
      <c r="F1309" s="42"/>
    </row>
    <row r="1310" spans="1:6" x14ac:dyDescent="0.3">
      <c r="A1310" s="42"/>
      <c r="B1310" s="58"/>
      <c r="C1310" s="42"/>
      <c r="D1310" s="42"/>
      <c r="E1310" s="42"/>
      <c r="F1310" s="42"/>
    </row>
    <row r="1311" spans="1:6" x14ac:dyDescent="0.3">
      <c r="A1311" s="42"/>
      <c r="B1311" s="58"/>
      <c r="C1311" s="42"/>
      <c r="D1311" s="42"/>
      <c r="E1311" s="42"/>
      <c r="F1311" s="42"/>
    </row>
    <row r="1312" spans="1:6" x14ac:dyDescent="0.3">
      <c r="A1312" s="42"/>
      <c r="B1312" s="58"/>
      <c r="C1312" s="42"/>
      <c r="D1312" s="42"/>
      <c r="E1312" s="42"/>
      <c r="F1312" s="42"/>
    </row>
    <row r="1313" spans="1:6" x14ac:dyDescent="0.3">
      <c r="A1313" s="42"/>
      <c r="B1313" s="58"/>
      <c r="C1313" s="42"/>
      <c r="D1313" s="42"/>
      <c r="E1313" s="42"/>
      <c r="F1313" s="42"/>
    </row>
    <row r="1314" spans="1:6" x14ac:dyDescent="0.3">
      <c r="A1314" s="42"/>
      <c r="B1314" s="58"/>
      <c r="C1314" s="42"/>
      <c r="D1314" s="42"/>
      <c r="E1314" s="42"/>
      <c r="F1314" s="42"/>
    </row>
    <row r="1315" spans="1:6" x14ac:dyDescent="0.3">
      <c r="A1315" s="42"/>
      <c r="B1315" s="58"/>
      <c r="C1315" s="42"/>
      <c r="D1315" s="42"/>
      <c r="E1315" s="42"/>
      <c r="F1315" s="42"/>
    </row>
    <row r="1316" spans="1:6" x14ac:dyDescent="0.3">
      <c r="A1316" s="42"/>
      <c r="B1316" s="58"/>
      <c r="C1316" s="42"/>
      <c r="D1316" s="42"/>
      <c r="E1316" s="42"/>
      <c r="F1316" s="42"/>
    </row>
    <row r="1317" spans="1:6" x14ac:dyDescent="0.3">
      <c r="A1317" s="42"/>
      <c r="B1317" s="58"/>
      <c r="C1317" s="42"/>
      <c r="D1317" s="42"/>
      <c r="E1317" s="42"/>
      <c r="F1317" s="42"/>
    </row>
    <row r="1318" spans="1:6" x14ac:dyDescent="0.3">
      <c r="A1318" s="42"/>
      <c r="B1318" s="58"/>
      <c r="C1318" s="42"/>
      <c r="D1318" s="42"/>
      <c r="E1318" s="42"/>
      <c r="F1318" s="42"/>
    </row>
    <row r="1319" spans="1:6" x14ac:dyDescent="0.3">
      <c r="A1319" s="42"/>
      <c r="B1319" s="58"/>
      <c r="C1319" s="42"/>
      <c r="D1319" s="42"/>
      <c r="E1319" s="42"/>
      <c r="F1319" s="42"/>
    </row>
    <row r="1320" spans="1:6" x14ac:dyDescent="0.3">
      <c r="A1320" s="42"/>
      <c r="B1320" s="58"/>
      <c r="C1320" s="42"/>
      <c r="D1320" s="42"/>
      <c r="E1320" s="42"/>
      <c r="F1320" s="42"/>
    </row>
    <row r="1321" spans="1:6" x14ac:dyDescent="0.3">
      <c r="A1321" s="42"/>
      <c r="B1321" s="58"/>
      <c r="C1321" s="42"/>
      <c r="D1321" s="42"/>
      <c r="E1321" s="42"/>
      <c r="F1321" s="42"/>
    </row>
    <row r="1322" spans="1:6" x14ac:dyDescent="0.3">
      <c r="A1322" s="42"/>
      <c r="B1322" s="58"/>
      <c r="C1322" s="42"/>
      <c r="D1322" s="42"/>
      <c r="E1322" s="42"/>
      <c r="F1322" s="42"/>
    </row>
    <row r="1323" spans="1:6" x14ac:dyDescent="0.3">
      <c r="A1323" s="42"/>
      <c r="B1323" s="58"/>
      <c r="C1323" s="42"/>
      <c r="D1323" s="42"/>
      <c r="E1323" s="42"/>
      <c r="F1323" s="42"/>
    </row>
    <row r="1324" spans="1:6" x14ac:dyDescent="0.3">
      <c r="A1324" s="42"/>
      <c r="B1324" s="58"/>
      <c r="C1324" s="42"/>
      <c r="D1324" s="42"/>
      <c r="E1324" s="42"/>
      <c r="F1324" s="42"/>
    </row>
    <row r="1325" spans="1:6" x14ac:dyDescent="0.3">
      <c r="A1325" s="42"/>
      <c r="B1325" s="58"/>
      <c r="C1325" s="42"/>
      <c r="D1325" s="42"/>
      <c r="E1325" s="42"/>
      <c r="F1325" s="42"/>
    </row>
    <row r="1326" spans="1:6" x14ac:dyDescent="0.3">
      <c r="A1326" s="42"/>
      <c r="B1326" s="58"/>
      <c r="C1326" s="42"/>
      <c r="D1326" s="42"/>
      <c r="E1326" s="42"/>
      <c r="F1326" s="42"/>
    </row>
    <row r="1327" spans="1:6" x14ac:dyDescent="0.3">
      <c r="A1327" s="42"/>
      <c r="B1327" s="58"/>
      <c r="C1327" s="42"/>
      <c r="D1327" s="42"/>
      <c r="E1327" s="42"/>
      <c r="F1327" s="42"/>
    </row>
    <row r="1328" spans="1:6" x14ac:dyDescent="0.3">
      <c r="A1328" s="42"/>
      <c r="B1328" s="58"/>
      <c r="C1328" s="42"/>
      <c r="D1328" s="42"/>
      <c r="E1328" s="42"/>
      <c r="F1328" s="42"/>
    </row>
    <row r="1329" spans="1:6" x14ac:dyDescent="0.3">
      <c r="A1329" s="42"/>
      <c r="B1329" s="58"/>
      <c r="C1329" s="42"/>
      <c r="D1329" s="42"/>
      <c r="E1329" s="42"/>
      <c r="F1329" s="42"/>
    </row>
    <row r="1330" spans="1:6" x14ac:dyDescent="0.3">
      <c r="A1330" s="42"/>
      <c r="B1330" s="58"/>
      <c r="C1330" s="42"/>
      <c r="D1330" s="42"/>
      <c r="E1330" s="42"/>
      <c r="F1330" s="42"/>
    </row>
    <row r="1331" spans="1:6" x14ac:dyDescent="0.3">
      <c r="A1331" s="42"/>
      <c r="B1331" s="58"/>
      <c r="C1331" s="42"/>
      <c r="D1331" s="42"/>
      <c r="E1331" s="42"/>
      <c r="F1331" s="42"/>
    </row>
    <row r="1332" spans="1:6" x14ac:dyDescent="0.3">
      <c r="A1332" s="42"/>
      <c r="B1332" s="58"/>
      <c r="C1332" s="42"/>
      <c r="D1332" s="42"/>
      <c r="E1332" s="42"/>
      <c r="F1332" s="42"/>
    </row>
    <row r="1333" spans="1:6" x14ac:dyDescent="0.3">
      <c r="A1333" s="42"/>
      <c r="B1333" s="58"/>
      <c r="C1333" s="42"/>
      <c r="D1333" s="42"/>
      <c r="E1333" s="42"/>
      <c r="F1333" s="42"/>
    </row>
    <row r="1334" spans="1:6" x14ac:dyDescent="0.3">
      <c r="A1334" s="42"/>
      <c r="B1334" s="58"/>
      <c r="C1334" s="42"/>
      <c r="D1334" s="42"/>
      <c r="E1334" s="42"/>
      <c r="F1334" s="42"/>
    </row>
    <row r="1335" spans="1:6" x14ac:dyDescent="0.3">
      <c r="A1335" s="42"/>
      <c r="B1335" s="58"/>
      <c r="C1335" s="42"/>
      <c r="D1335" s="42"/>
      <c r="E1335" s="42"/>
      <c r="F1335" s="42"/>
    </row>
    <row r="1336" spans="1:6" x14ac:dyDescent="0.3">
      <c r="A1336" s="42"/>
      <c r="B1336" s="58"/>
      <c r="C1336" s="42"/>
      <c r="D1336" s="42"/>
      <c r="E1336" s="42"/>
      <c r="F1336" s="42"/>
    </row>
    <row r="1337" spans="1:6" x14ac:dyDescent="0.3">
      <c r="A1337" s="42"/>
      <c r="B1337" s="58"/>
      <c r="C1337" s="42"/>
      <c r="D1337" s="42"/>
      <c r="E1337" s="42"/>
      <c r="F1337" s="42"/>
    </row>
    <row r="1338" spans="1:6" x14ac:dyDescent="0.3">
      <c r="A1338" s="42"/>
      <c r="B1338" s="58"/>
      <c r="C1338" s="42"/>
      <c r="D1338" s="42"/>
      <c r="E1338" s="42"/>
      <c r="F1338" s="42"/>
    </row>
    <row r="1339" spans="1:6" x14ac:dyDescent="0.3">
      <c r="A1339" s="42"/>
      <c r="B1339" s="58"/>
      <c r="C1339" s="42"/>
      <c r="D1339" s="42"/>
      <c r="E1339" s="42"/>
      <c r="F1339" s="42"/>
    </row>
    <row r="1340" spans="1:6" x14ac:dyDescent="0.3">
      <c r="A1340" s="42"/>
      <c r="B1340" s="58"/>
      <c r="C1340" s="42"/>
      <c r="D1340" s="42"/>
      <c r="E1340" s="42"/>
      <c r="F1340" s="42"/>
    </row>
    <row r="1341" spans="1:6" x14ac:dyDescent="0.3">
      <c r="A1341" s="42"/>
      <c r="B1341" s="58"/>
      <c r="C1341" s="42"/>
      <c r="D1341" s="42"/>
      <c r="E1341" s="42"/>
      <c r="F1341" s="42"/>
    </row>
    <row r="1342" spans="1:6" x14ac:dyDescent="0.3">
      <c r="A1342" s="42"/>
      <c r="B1342" s="58"/>
      <c r="C1342" s="42"/>
      <c r="D1342" s="42"/>
      <c r="E1342" s="42"/>
      <c r="F1342" s="42"/>
    </row>
    <row r="1343" spans="1:6" x14ac:dyDescent="0.3">
      <c r="A1343" s="42"/>
      <c r="B1343" s="58"/>
      <c r="C1343" s="42"/>
      <c r="D1343" s="42"/>
      <c r="E1343" s="42"/>
      <c r="F1343" s="42"/>
    </row>
    <row r="1344" spans="1:6" x14ac:dyDescent="0.3">
      <c r="A1344" s="42"/>
      <c r="B1344" s="58"/>
      <c r="C1344" s="42"/>
      <c r="D1344" s="42"/>
      <c r="E1344" s="42"/>
      <c r="F1344" s="42"/>
    </row>
    <row r="1345" spans="1:6" x14ac:dyDescent="0.3">
      <c r="A1345" s="42"/>
      <c r="B1345" s="58"/>
      <c r="C1345" s="42"/>
      <c r="D1345" s="42"/>
      <c r="E1345" s="42"/>
      <c r="F1345" s="42"/>
    </row>
    <row r="1346" spans="1:6" x14ac:dyDescent="0.3">
      <c r="A1346" s="42"/>
      <c r="B1346" s="58"/>
      <c r="C1346" s="42"/>
      <c r="D1346" s="42"/>
      <c r="E1346" s="42"/>
      <c r="F1346" s="42"/>
    </row>
    <row r="1347" spans="1:6" x14ac:dyDescent="0.3">
      <c r="A1347" s="42"/>
      <c r="B1347" s="58"/>
      <c r="C1347" s="42"/>
      <c r="D1347" s="42"/>
      <c r="E1347" s="42"/>
      <c r="F1347" s="42"/>
    </row>
    <row r="1348" spans="1:6" x14ac:dyDescent="0.3">
      <c r="A1348" s="42"/>
      <c r="B1348" s="58"/>
      <c r="C1348" s="42"/>
      <c r="D1348" s="42"/>
      <c r="E1348" s="42"/>
      <c r="F1348" s="42"/>
    </row>
    <row r="1349" spans="1:6" x14ac:dyDescent="0.3">
      <c r="A1349" s="42"/>
      <c r="B1349" s="58"/>
      <c r="C1349" s="42"/>
      <c r="D1349" s="42"/>
      <c r="E1349" s="42"/>
      <c r="F1349" s="42"/>
    </row>
    <row r="1350" spans="1:6" x14ac:dyDescent="0.3">
      <c r="A1350" s="42"/>
      <c r="B1350" s="58"/>
      <c r="C1350" s="42"/>
      <c r="D1350" s="42"/>
      <c r="E1350" s="42"/>
      <c r="F1350" s="42"/>
    </row>
    <row r="1351" spans="1:6" x14ac:dyDescent="0.3">
      <c r="A1351" s="42"/>
      <c r="B1351" s="58"/>
      <c r="C1351" s="42"/>
      <c r="D1351" s="42"/>
      <c r="E1351" s="42"/>
      <c r="F1351" s="42"/>
    </row>
    <row r="1352" spans="1:6" x14ac:dyDescent="0.3">
      <c r="A1352" s="42"/>
      <c r="B1352" s="58"/>
      <c r="C1352" s="42"/>
      <c r="D1352" s="42"/>
      <c r="E1352" s="42"/>
      <c r="F1352" s="42"/>
    </row>
    <row r="1353" spans="1:6" x14ac:dyDescent="0.3">
      <c r="A1353" s="42"/>
      <c r="B1353" s="58"/>
      <c r="C1353" s="42"/>
      <c r="D1353" s="42"/>
      <c r="E1353" s="42"/>
      <c r="F1353" s="42"/>
    </row>
    <row r="1354" spans="1:6" x14ac:dyDescent="0.3">
      <c r="A1354" s="42"/>
      <c r="B1354" s="58"/>
      <c r="C1354" s="42"/>
      <c r="D1354" s="42"/>
      <c r="E1354" s="42"/>
      <c r="F1354" s="42"/>
    </row>
    <row r="1355" spans="1:6" x14ac:dyDescent="0.3">
      <c r="A1355" s="42"/>
      <c r="B1355" s="58"/>
      <c r="C1355" s="42"/>
      <c r="D1355" s="42"/>
      <c r="E1355" s="42"/>
      <c r="F1355" s="42"/>
    </row>
    <row r="1356" spans="1:6" x14ac:dyDescent="0.3">
      <c r="A1356" s="42"/>
      <c r="B1356" s="58"/>
      <c r="C1356" s="42"/>
      <c r="D1356" s="42"/>
      <c r="E1356" s="42"/>
      <c r="F1356" s="42"/>
    </row>
    <row r="1357" spans="1:6" x14ac:dyDescent="0.3">
      <c r="A1357" s="42"/>
      <c r="B1357" s="58"/>
      <c r="C1357" s="42"/>
      <c r="D1357" s="42"/>
      <c r="E1357" s="42"/>
      <c r="F1357" s="42"/>
    </row>
    <row r="1358" spans="1:6" x14ac:dyDescent="0.3">
      <c r="A1358" s="42"/>
      <c r="B1358" s="58"/>
      <c r="C1358" s="42"/>
      <c r="D1358" s="42"/>
      <c r="E1358" s="42"/>
      <c r="F1358" s="42"/>
    </row>
    <row r="1359" spans="1:6" x14ac:dyDescent="0.3">
      <c r="A1359" s="42"/>
      <c r="B1359" s="58"/>
      <c r="C1359" s="42"/>
      <c r="D1359" s="42"/>
      <c r="E1359" s="42"/>
      <c r="F1359" s="42"/>
    </row>
    <row r="1360" spans="1:6" x14ac:dyDescent="0.3">
      <c r="A1360" s="42"/>
      <c r="B1360" s="58"/>
      <c r="C1360" s="42"/>
      <c r="D1360" s="42"/>
      <c r="E1360" s="42"/>
      <c r="F1360" s="42"/>
    </row>
    <row r="1361" spans="1:6" x14ac:dyDescent="0.3">
      <c r="A1361" s="42"/>
      <c r="B1361" s="58"/>
      <c r="C1361" s="42"/>
      <c r="D1361" s="42"/>
      <c r="E1361" s="42"/>
      <c r="F1361" s="42"/>
    </row>
    <row r="1362" spans="1:6" x14ac:dyDescent="0.3">
      <c r="A1362" s="42"/>
      <c r="B1362" s="58"/>
      <c r="C1362" s="42"/>
      <c r="D1362" s="42"/>
      <c r="E1362" s="42"/>
      <c r="F1362" s="42"/>
    </row>
    <row r="1363" spans="1:6" x14ac:dyDescent="0.3">
      <c r="A1363" s="42"/>
      <c r="B1363" s="58"/>
      <c r="C1363" s="42"/>
      <c r="D1363" s="42"/>
      <c r="E1363" s="42"/>
      <c r="F1363" s="42"/>
    </row>
    <row r="1364" spans="1:6" x14ac:dyDescent="0.3">
      <c r="A1364" s="42"/>
      <c r="B1364" s="58"/>
      <c r="C1364" s="42"/>
      <c r="D1364" s="42"/>
      <c r="E1364" s="42"/>
      <c r="F1364" s="42"/>
    </row>
    <row r="1365" spans="1:6" x14ac:dyDescent="0.3">
      <c r="A1365" s="42"/>
      <c r="B1365" s="58"/>
      <c r="C1365" s="42"/>
      <c r="D1365" s="42"/>
      <c r="E1365" s="42"/>
      <c r="F1365" s="42"/>
    </row>
    <row r="1366" spans="1:6" x14ac:dyDescent="0.3">
      <c r="A1366" s="42"/>
      <c r="B1366" s="58"/>
      <c r="C1366" s="42"/>
      <c r="D1366" s="42"/>
      <c r="E1366" s="42"/>
      <c r="F1366" s="42"/>
    </row>
    <row r="1367" spans="1:6" x14ac:dyDescent="0.3">
      <c r="A1367" s="42"/>
      <c r="B1367" s="58"/>
      <c r="C1367" s="42"/>
      <c r="D1367" s="42"/>
      <c r="E1367" s="42"/>
      <c r="F1367" s="42"/>
    </row>
    <row r="1368" spans="1:6" x14ac:dyDescent="0.3">
      <c r="A1368" s="42"/>
      <c r="B1368" s="58"/>
      <c r="C1368" s="42"/>
      <c r="D1368" s="42"/>
      <c r="E1368" s="42"/>
      <c r="F1368" s="42"/>
    </row>
    <row r="1369" spans="1:6" x14ac:dyDescent="0.3">
      <c r="A1369" s="42"/>
      <c r="B1369" s="58"/>
      <c r="C1369" s="42"/>
      <c r="D1369" s="42"/>
      <c r="E1369" s="42"/>
      <c r="F1369" s="42"/>
    </row>
    <row r="1370" spans="1:6" x14ac:dyDescent="0.3">
      <c r="A1370" s="42"/>
      <c r="B1370" s="58"/>
      <c r="C1370" s="42"/>
      <c r="D1370" s="42"/>
      <c r="E1370" s="42"/>
      <c r="F1370" s="42"/>
    </row>
    <row r="1371" spans="1:6" x14ac:dyDescent="0.3">
      <c r="A1371" s="42"/>
      <c r="B1371" s="58"/>
      <c r="C1371" s="42"/>
      <c r="D1371" s="42"/>
      <c r="E1371" s="42"/>
      <c r="F1371" s="42"/>
    </row>
    <row r="1372" spans="1:6" x14ac:dyDescent="0.3">
      <c r="A1372" s="42"/>
      <c r="B1372" s="58"/>
      <c r="C1372" s="42"/>
      <c r="D1372" s="42"/>
      <c r="E1372" s="42"/>
      <c r="F1372" s="42"/>
    </row>
    <row r="1373" spans="1:6" x14ac:dyDescent="0.3">
      <c r="A1373" s="42"/>
      <c r="B1373" s="58"/>
      <c r="C1373" s="42"/>
      <c r="D1373" s="42"/>
      <c r="E1373" s="42"/>
      <c r="F1373" s="42"/>
    </row>
    <row r="1374" spans="1:6" x14ac:dyDescent="0.3">
      <c r="A1374" s="42"/>
      <c r="B1374" s="58"/>
      <c r="C1374" s="42"/>
      <c r="D1374" s="42"/>
      <c r="E1374" s="42"/>
      <c r="F1374" s="42"/>
    </row>
    <row r="1375" spans="1:6" x14ac:dyDescent="0.3">
      <c r="A1375" s="42"/>
      <c r="B1375" s="58"/>
      <c r="C1375" s="42"/>
      <c r="D1375" s="42"/>
      <c r="E1375" s="42"/>
      <c r="F1375" s="42"/>
    </row>
    <row r="1376" spans="1:6" x14ac:dyDescent="0.3">
      <c r="A1376" s="42"/>
      <c r="B1376" s="58"/>
      <c r="C1376" s="42"/>
      <c r="D1376" s="42"/>
      <c r="E1376" s="42"/>
      <c r="F1376" s="42"/>
    </row>
    <row r="1377" spans="1:6" x14ac:dyDescent="0.3">
      <c r="A1377" s="42"/>
      <c r="B1377" s="58"/>
      <c r="C1377" s="42"/>
      <c r="D1377" s="42"/>
      <c r="E1377" s="42"/>
      <c r="F1377" s="42"/>
    </row>
    <row r="1378" spans="1:6" x14ac:dyDescent="0.3">
      <c r="A1378" s="42"/>
      <c r="B1378" s="58"/>
      <c r="C1378" s="42"/>
      <c r="D1378" s="42"/>
      <c r="E1378" s="42"/>
      <c r="F1378" s="42"/>
    </row>
    <row r="1379" spans="1:6" x14ac:dyDescent="0.3">
      <c r="A1379" s="42"/>
      <c r="B1379" s="58"/>
      <c r="C1379" s="42"/>
      <c r="D1379" s="42"/>
      <c r="E1379" s="42"/>
      <c r="F1379" s="42"/>
    </row>
    <row r="1380" spans="1:6" x14ac:dyDescent="0.3">
      <c r="A1380" s="42"/>
      <c r="B1380" s="58"/>
      <c r="C1380" s="42"/>
      <c r="D1380" s="42"/>
      <c r="E1380" s="42"/>
      <c r="F1380" s="42"/>
    </row>
    <row r="1381" spans="1:6" x14ac:dyDescent="0.3">
      <c r="A1381" s="42"/>
      <c r="B1381" s="58"/>
      <c r="C1381" s="42"/>
      <c r="D1381" s="42"/>
      <c r="E1381" s="42"/>
      <c r="F1381" s="42"/>
    </row>
    <row r="1382" spans="1:6" x14ac:dyDescent="0.3">
      <c r="A1382" s="42"/>
      <c r="B1382" s="58"/>
      <c r="C1382" s="42"/>
      <c r="D1382" s="42"/>
      <c r="E1382" s="42"/>
      <c r="F1382" s="42"/>
    </row>
    <row r="1383" spans="1:6" x14ac:dyDescent="0.3">
      <c r="A1383" s="42"/>
      <c r="B1383" s="58"/>
      <c r="C1383" s="42"/>
      <c r="D1383" s="42"/>
      <c r="E1383" s="42"/>
      <c r="F1383" s="42"/>
    </row>
    <row r="1384" spans="1:6" x14ac:dyDescent="0.3">
      <c r="A1384" s="42"/>
      <c r="B1384" s="58"/>
      <c r="C1384" s="42"/>
      <c r="D1384" s="42"/>
      <c r="E1384" s="42"/>
      <c r="F1384" s="42"/>
    </row>
    <row r="1385" spans="1:6" x14ac:dyDescent="0.3">
      <c r="A1385" s="42"/>
      <c r="B1385" s="58"/>
      <c r="C1385" s="42"/>
      <c r="D1385" s="42"/>
      <c r="E1385" s="42"/>
      <c r="F1385" s="42"/>
    </row>
    <row r="1386" spans="1:6" x14ac:dyDescent="0.3">
      <c r="A1386" s="42"/>
      <c r="B1386" s="58"/>
      <c r="C1386" s="42"/>
      <c r="D1386" s="42"/>
      <c r="E1386" s="42"/>
      <c r="F1386" s="42"/>
    </row>
    <row r="1387" spans="1:6" x14ac:dyDescent="0.3">
      <c r="A1387" s="42"/>
      <c r="B1387" s="58"/>
      <c r="C1387" s="42"/>
      <c r="D1387" s="42"/>
      <c r="E1387" s="42"/>
      <c r="F1387" s="42"/>
    </row>
    <row r="1388" spans="1:6" x14ac:dyDescent="0.3">
      <c r="A1388" s="42"/>
      <c r="B1388" s="58"/>
      <c r="C1388" s="42"/>
      <c r="D1388" s="42"/>
      <c r="E1388" s="42"/>
      <c r="F1388" s="42"/>
    </row>
    <row r="1389" spans="1:6" x14ac:dyDescent="0.3">
      <c r="A1389" s="42"/>
      <c r="B1389" s="58"/>
      <c r="C1389" s="42"/>
      <c r="D1389" s="42"/>
      <c r="E1389" s="42"/>
      <c r="F1389" s="42"/>
    </row>
    <row r="1390" spans="1:6" x14ac:dyDescent="0.3">
      <c r="A1390" s="42"/>
      <c r="B1390" s="58"/>
      <c r="C1390" s="42"/>
      <c r="D1390" s="42"/>
      <c r="E1390" s="42"/>
      <c r="F1390" s="42"/>
    </row>
    <row r="1391" spans="1:6" x14ac:dyDescent="0.3">
      <c r="A1391" s="42"/>
      <c r="B1391" s="58"/>
      <c r="C1391" s="42"/>
      <c r="D1391" s="42"/>
      <c r="E1391" s="42"/>
      <c r="F1391" s="42"/>
    </row>
    <row r="1392" spans="1:6" x14ac:dyDescent="0.3">
      <c r="A1392" s="42"/>
      <c r="B1392" s="58"/>
      <c r="C1392" s="42"/>
      <c r="D1392" s="42"/>
      <c r="E1392" s="42"/>
      <c r="F1392" s="42"/>
    </row>
    <row r="1393" spans="1:6" x14ac:dyDescent="0.3">
      <c r="A1393" s="42"/>
      <c r="B1393" s="58"/>
      <c r="C1393" s="42"/>
      <c r="D1393" s="42"/>
      <c r="E1393" s="42"/>
      <c r="F1393" s="42"/>
    </row>
    <row r="1394" spans="1:6" x14ac:dyDescent="0.3">
      <c r="A1394" s="42"/>
      <c r="B1394" s="58"/>
      <c r="C1394" s="42"/>
      <c r="D1394" s="42"/>
      <c r="E1394" s="42"/>
      <c r="F1394" s="42"/>
    </row>
    <row r="1395" spans="1:6" x14ac:dyDescent="0.3">
      <c r="A1395" s="42"/>
      <c r="B1395" s="58"/>
      <c r="C1395" s="42"/>
      <c r="D1395" s="42"/>
      <c r="E1395" s="42"/>
      <c r="F1395" s="42"/>
    </row>
    <row r="1396" spans="1:6" x14ac:dyDescent="0.3">
      <c r="A1396" s="42"/>
      <c r="B1396" s="58"/>
      <c r="C1396" s="42"/>
      <c r="D1396" s="42"/>
      <c r="E1396" s="42"/>
      <c r="F1396" s="42"/>
    </row>
    <row r="1397" spans="1:6" x14ac:dyDescent="0.3">
      <c r="A1397" s="42"/>
      <c r="B1397" s="58"/>
      <c r="C1397" s="42"/>
      <c r="D1397" s="42"/>
      <c r="E1397" s="42"/>
      <c r="F1397" s="42"/>
    </row>
    <row r="1398" spans="1:6" x14ac:dyDescent="0.3">
      <c r="A1398" s="42"/>
      <c r="B1398" s="58"/>
      <c r="C1398" s="42"/>
      <c r="D1398" s="42"/>
      <c r="E1398" s="42"/>
      <c r="F1398" s="42"/>
    </row>
    <row r="1399" spans="1:6" x14ac:dyDescent="0.3">
      <c r="A1399" s="42"/>
      <c r="B1399" s="58"/>
      <c r="C1399" s="42"/>
      <c r="D1399" s="42"/>
      <c r="E1399" s="42"/>
      <c r="F1399" s="42"/>
    </row>
    <row r="1400" spans="1:6" x14ac:dyDescent="0.3">
      <c r="A1400" s="42"/>
      <c r="B1400" s="58"/>
      <c r="C1400" s="42"/>
      <c r="D1400" s="42"/>
      <c r="E1400" s="42"/>
      <c r="F1400" s="42"/>
    </row>
    <row r="1401" spans="1:6" x14ac:dyDescent="0.3">
      <c r="A1401" s="42"/>
      <c r="B1401" s="58"/>
      <c r="C1401" s="42"/>
      <c r="D1401" s="42"/>
      <c r="E1401" s="42"/>
      <c r="F1401" s="42"/>
    </row>
    <row r="1402" spans="1:6" x14ac:dyDescent="0.3">
      <c r="A1402" s="42"/>
      <c r="B1402" s="58"/>
      <c r="C1402" s="42"/>
      <c r="D1402" s="42"/>
      <c r="E1402" s="42"/>
      <c r="F1402" s="42"/>
    </row>
    <row r="1403" spans="1:6" x14ac:dyDescent="0.3">
      <c r="A1403" s="42"/>
      <c r="B1403" s="58"/>
      <c r="C1403" s="42"/>
      <c r="D1403" s="42"/>
      <c r="E1403" s="42"/>
      <c r="F1403" s="42"/>
    </row>
    <row r="1404" spans="1:6" x14ac:dyDescent="0.3">
      <c r="A1404" s="42"/>
      <c r="B1404" s="58"/>
      <c r="C1404" s="42"/>
      <c r="D1404" s="42"/>
      <c r="E1404" s="42"/>
      <c r="F1404" s="42"/>
    </row>
    <row r="1405" spans="1:6" x14ac:dyDescent="0.3">
      <c r="A1405" s="42"/>
      <c r="B1405" s="58"/>
      <c r="C1405" s="42"/>
      <c r="D1405" s="42"/>
      <c r="E1405" s="42"/>
      <c r="F1405" s="42"/>
    </row>
    <row r="1406" spans="1:6" x14ac:dyDescent="0.3">
      <c r="A1406" s="42"/>
      <c r="B1406" s="58"/>
      <c r="C1406" s="42"/>
      <c r="D1406" s="42"/>
      <c r="E1406" s="42"/>
      <c r="F1406" s="42"/>
    </row>
    <row r="1407" spans="1:6" x14ac:dyDescent="0.3">
      <c r="A1407" s="42"/>
      <c r="B1407" s="58"/>
      <c r="C1407" s="42"/>
      <c r="D1407" s="42"/>
      <c r="E1407" s="42"/>
      <c r="F1407" s="42"/>
    </row>
    <row r="1408" spans="1:6" x14ac:dyDescent="0.3">
      <c r="A1408" s="42"/>
      <c r="B1408" s="58"/>
      <c r="C1408" s="42"/>
      <c r="D1408" s="42"/>
      <c r="E1408" s="42"/>
      <c r="F1408" s="42"/>
    </row>
    <row r="1409" spans="1:6" x14ac:dyDescent="0.3">
      <c r="A1409" s="42"/>
      <c r="B1409" s="58"/>
      <c r="C1409" s="42"/>
      <c r="D1409" s="42"/>
      <c r="E1409" s="42"/>
      <c r="F1409" s="42"/>
    </row>
    <row r="1410" spans="1:6" x14ac:dyDescent="0.3">
      <c r="A1410" s="42"/>
      <c r="B1410" s="58"/>
      <c r="C1410" s="42"/>
      <c r="D1410" s="42"/>
      <c r="E1410" s="42"/>
      <c r="F1410" s="42"/>
    </row>
    <row r="1411" spans="1:6" x14ac:dyDescent="0.3">
      <c r="A1411" s="42"/>
      <c r="B1411" s="58"/>
      <c r="C1411" s="42"/>
      <c r="D1411" s="42"/>
      <c r="E1411" s="42"/>
      <c r="F1411" s="42"/>
    </row>
    <row r="1412" spans="1:6" x14ac:dyDescent="0.3">
      <c r="A1412" s="42"/>
      <c r="B1412" s="58"/>
      <c r="C1412" s="42"/>
      <c r="D1412" s="42"/>
      <c r="E1412" s="42"/>
      <c r="F1412" s="42"/>
    </row>
    <row r="1413" spans="1:6" x14ac:dyDescent="0.3">
      <c r="A1413" s="42"/>
      <c r="B1413" s="58"/>
      <c r="C1413" s="42"/>
      <c r="D1413" s="42"/>
      <c r="E1413" s="42"/>
      <c r="F1413" s="42"/>
    </row>
    <row r="1414" spans="1:6" x14ac:dyDescent="0.3">
      <c r="A1414" s="42"/>
      <c r="B1414" s="58"/>
      <c r="C1414" s="42"/>
      <c r="D1414" s="42"/>
      <c r="E1414" s="42"/>
      <c r="F1414" s="42"/>
    </row>
    <row r="1415" spans="1:6" x14ac:dyDescent="0.3">
      <c r="A1415" s="42"/>
      <c r="B1415" s="58"/>
      <c r="C1415" s="42"/>
      <c r="D1415" s="42"/>
      <c r="E1415" s="42"/>
      <c r="F1415" s="42"/>
    </row>
    <row r="1416" spans="1:6" x14ac:dyDescent="0.3">
      <c r="A1416" s="42"/>
      <c r="B1416" s="58"/>
      <c r="C1416" s="42"/>
      <c r="D1416" s="42"/>
      <c r="E1416" s="42"/>
      <c r="F1416" s="42"/>
    </row>
    <row r="1417" spans="1:6" x14ac:dyDescent="0.3">
      <c r="A1417" s="42"/>
      <c r="B1417" s="58"/>
      <c r="C1417" s="42"/>
      <c r="D1417" s="42"/>
      <c r="E1417" s="42"/>
      <c r="F1417" s="42"/>
    </row>
    <row r="1418" spans="1:6" x14ac:dyDescent="0.3">
      <c r="A1418" s="42"/>
      <c r="B1418" s="58"/>
      <c r="C1418" s="42"/>
      <c r="D1418" s="42"/>
      <c r="E1418" s="42"/>
      <c r="F1418" s="42"/>
    </row>
    <row r="1419" spans="1:6" x14ac:dyDescent="0.3">
      <c r="A1419" s="42"/>
      <c r="B1419" s="58"/>
      <c r="C1419" s="42"/>
      <c r="D1419" s="42"/>
      <c r="E1419" s="42"/>
      <c r="F1419" s="42"/>
    </row>
    <row r="1420" spans="1:6" x14ac:dyDescent="0.3">
      <c r="A1420" s="42"/>
      <c r="B1420" s="58"/>
      <c r="C1420" s="42"/>
      <c r="D1420" s="42"/>
      <c r="E1420" s="42"/>
      <c r="F1420" s="42"/>
    </row>
    <row r="1421" spans="1:6" x14ac:dyDescent="0.3">
      <c r="A1421" s="42"/>
      <c r="B1421" s="58"/>
      <c r="C1421" s="42"/>
      <c r="D1421" s="42"/>
      <c r="E1421" s="42"/>
      <c r="F1421" s="42"/>
    </row>
    <row r="1422" spans="1:6" x14ac:dyDescent="0.3">
      <c r="A1422" s="42"/>
      <c r="B1422" s="58"/>
      <c r="C1422" s="42"/>
      <c r="D1422" s="42"/>
      <c r="E1422" s="42"/>
      <c r="F1422" s="42"/>
    </row>
    <row r="1423" spans="1:6" x14ac:dyDescent="0.3">
      <c r="A1423" s="42"/>
      <c r="B1423" s="58"/>
      <c r="C1423" s="42"/>
      <c r="D1423" s="42"/>
      <c r="E1423" s="42"/>
      <c r="F1423" s="42"/>
    </row>
    <row r="1424" spans="1:6" x14ac:dyDescent="0.3">
      <c r="A1424" s="42"/>
      <c r="B1424" s="58"/>
      <c r="C1424" s="42"/>
      <c r="D1424" s="42"/>
      <c r="E1424" s="42"/>
      <c r="F1424" s="42"/>
    </row>
    <row r="1425" spans="1:6" x14ac:dyDescent="0.3">
      <c r="A1425" s="42"/>
      <c r="B1425" s="58"/>
      <c r="C1425" s="42"/>
      <c r="D1425" s="42"/>
      <c r="E1425" s="42"/>
      <c r="F1425" s="42"/>
    </row>
    <row r="1426" spans="1:6" x14ac:dyDescent="0.3">
      <c r="A1426" s="42"/>
      <c r="B1426" s="58"/>
      <c r="C1426" s="42"/>
      <c r="D1426" s="42"/>
      <c r="E1426" s="42"/>
      <c r="F1426" s="42"/>
    </row>
    <row r="1427" spans="1:6" x14ac:dyDescent="0.3">
      <c r="A1427" s="42"/>
      <c r="B1427" s="58"/>
      <c r="C1427" s="42"/>
      <c r="D1427" s="42"/>
      <c r="E1427" s="42"/>
      <c r="F1427" s="42"/>
    </row>
    <row r="1428" spans="1:6" x14ac:dyDescent="0.3">
      <c r="A1428" s="42"/>
      <c r="B1428" s="58"/>
      <c r="C1428" s="42"/>
      <c r="D1428" s="42"/>
      <c r="E1428" s="42"/>
      <c r="F1428" s="42"/>
    </row>
    <row r="1429" spans="1:6" x14ac:dyDescent="0.3">
      <c r="A1429" s="42"/>
      <c r="B1429" s="58"/>
      <c r="C1429" s="42"/>
      <c r="D1429" s="42"/>
      <c r="E1429" s="42"/>
      <c r="F1429" s="42"/>
    </row>
    <row r="1430" spans="1:6" x14ac:dyDescent="0.3">
      <c r="A1430" s="42"/>
      <c r="B1430" s="58"/>
      <c r="C1430" s="42"/>
      <c r="D1430" s="42"/>
      <c r="E1430" s="42"/>
      <c r="F1430" s="42"/>
    </row>
    <row r="1431" spans="1:6" x14ac:dyDescent="0.3">
      <c r="A1431" s="42"/>
      <c r="B1431" s="58"/>
      <c r="C1431" s="42"/>
      <c r="D1431" s="42"/>
      <c r="E1431" s="42"/>
      <c r="F1431" s="42"/>
    </row>
    <row r="1432" spans="1:6" x14ac:dyDescent="0.3">
      <c r="A1432" s="42"/>
      <c r="B1432" s="58"/>
      <c r="C1432" s="42"/>
      <c r="D1432" s="42"/>
      <c r="E1432" s="42"/>
      <c r="F1432" s="42"/>
    </row>
    <row r="1433" spans="1:6" x14ac:dyDescent="0.3">
      <c r="A1433" s="42"/>
      <c r="B1433" s="58"/>
      <c r="C1433" s="42"/>
      <c r="D1433" s="42"/>
      <c r="E1433" s="42"/>
      <c r="F1433" s="42"/>
    </row>
    <row r="1434" spans="1:6" x14ac:dyDescent="0.3">
      <c r="A1434" s="42"/>
      <c r="B1434" s="58"/>
      <c r="C1434" s="42"/>
      <c r="D1434" s="42"/>
      <c r="E1434" s="42"/>
      <c r="F1434" s="42"/>
    </row>
    <row r="1435" spans="1:6" x14ac:dyDescent="0.3">
      <c r="A1435" s="42"/>
      <c r="B1435" s="58"/>
      <c r="C1435" s="42"/>
      <c r="D1435" s="42"/>
      <c r="E1435" s="42"/>
      <c r="F1435" s="42"/>
    </row>
    <row r="1436" spans="1:6" x14ac:dyDescent="0.3">
      <c r="A1436" s="42"/>
      <c r="B1436" s="58"/>
      <c r="C1436" s="42"/>
      <c r="D1436" s="42"/>
      <c r="E1436" s="42"/>
      <c r="F1436" s="42"/>
    </row>
    <row r="1437" spans="1:6" x14ac:dyDescent="0.3">
      <c r="A1437" s="42"/>
      <c r="B1437" s="58"/>
      <c r="C1437" s="42"/>
      <c r="D1437" s="42"/>
      <c r="E1437" s="42"/>
      <c r="F1437" s="42"/>
    </row>
    <row r="1438" spans="1:6" x14ac:dyDescent="0.3">
      <c r="A1438" s="42"/>
      <c r="B1438" s="58"/>
      <c r="C1438" s="42"/>
      <c r="D1438" s="42"/>
      <c r="E1438" s="42"/>
      <c r="F1438" s="42"/>
    </row>
    <row r="1439" spans="1:6" x14ac:dyDescent="0.3">
      <c r="A1439" s="42"/>
      <c r="B1439" s="58"/>
      <c r="C1439" s="42"/>
      <c r="D1439" s="42"/>
      <c r="E1439" s="42"/>
      <c r="F1439" s="42"/>
    </row>
    <row r="1440" spans="1:6" x14ac:dyDescent="0.3">
      <c r="A1440" s="42"/>
      <c r="B1440" s="58"/>
      <c r="C1440" s="42"/>
      <c r="D1440" s="42"/>
      <c r="E1440" s="42"/>
      <c r="F1440" s="42"/>
    </row>
    <row r="1441" spans="1:6" x14ac:dyDescent="0.3">
      <c r="A1441" s="42"/>
      <c r="B1441" s="58"/>
      <c r="C1441" s="42"/>
      <c r="D1441" s="42"/>
      <c r="E1441" s="42"/>
      <c r="F1441" s="42"/>
    </row>
    <row r="1442" spans="1:6" x14ac:dyDescent="0.3">
      <c r="A1442" s="42"/>
      <c r="B1442" s="58"/>
      <c r="C1442" s="42"/>
      <c r="D1442" s="42"/>
      <c r="E1442" s="42"/>
      <c r="F1442" s="42"/>
    </row>
    <row r="1443" spans="1:6" x14ac:dyDescent="0.3">
      <c r="A1443" s="42"/>
      <c r="B1443" s="58"/>
      <c r="C1443" s="42"/>
      <c r="D1443" s="42"/>
      <c r="E1443" s="42"/>
      <c r="F1443" s="42"/>
    </row>
    <row r="1444" spans="1:6" x14ac:dyDescent="0.3">
      <c r="A1444" s="42"/>
      <c r="B1444" s="58"/>
      <c r="C1444" s="42"/>
      <c r="D1444" s="42"/>
      <c r="E1444" s="42"/>
      <c r="F1444" s="42"/>
    </row>
    <row r="1445" spans="1:6" x14ac:dyDescent="0.3">
      <c r="A1445" s="42"/>
      <c r="B1445" s="58"/>
      <c r="C1445" s="42"/>
      <c r="D1445" s="42"/>
      <c r="E1445" s="42"/>
      <c r="F1445" s="42"/>
    </row>
    <row r="1446" spans="1:6" x14ac:dyDescent="0.3">
      <c r="A1446" s="42"/>
      <c r="B1446" s="58"/>
      <c r="C1446" s="42"/>
      <c r="D1446" s="42"/>
      <c r="E1446" s="42"/>
      <c r="F1446" s="42"/>
    </row>
    <row r="1447" spans="1:6" x14ac:dyDescent="0.3">
      <c r="A1447" s="42"/>
      <c r="B1447" s="58"/>
      <c r="C1447" s="42"/>
      <c r="D1447" s="42"/>
      <c r="E1447" s="42"/>
      <c r="F1447" s="42"/>
    </row>
    <row r="1448" spans="1:6" x14ac:dyDescent="0.3">
      <c r="A1448" s="42"/>
      <c r="B1448" s="58"/>
      <c r="C1448" s="42"/>
      <c r="D1448" s="42"/>
      <c r="E1448" s="42"/>
      <c r="F1448" s="42"/>
    </row>
    <row r="1449" spans="1:6" x14ac:dyDescent="0.3">
      <c r="A1449" s="42"/>
      <c r="B1449" s="58"/>
      <c r="C1449" s="42"/>
      <c r="D1449" s="42"/>
      <c r="E1449" s="42"/>
      <c r="F1449" s="42"/>
    </row>
    <row r="1450" spans="1:6" x14ac:dyDescent="0.3">
      <c r="A1450" s="42"/>
      <c r="B1450" s="58"/>
      <c r="C1450" s="42"/>
      <c r="D1450" s="42"/>
      <c r="E1450" s="42"/>
      <c r="F1450" s="42"/>
    </row>
    <row r="1451" spans="1:6" x14ac:dyDescent="0.3">
      <c r="A1451" s="42"/>
      <c r="B1451" s="58"/>
      <c r="C1451" s="42"/>
      <c r="D1451" s="42"/>
      <c r="E1451" s="42"/>
      <c r="F1451" s="42"/>
    </row>
    <row r="1452" spans="1:6" x14ac:dyDescent="0.3">
      <c r="A1452" s="42"/>
      <c r="B1452" s="58"/>
      <c r="C1452" s="42"/>
      <c r="D1452" s="42"/>
      <c r="E1452" s="42"/>
      <c r="F1452" s="42"/>
    </row>
    <row r="1453" spans="1:6" x14ac:dyDescent="0.3">
      <c r="A1453" s="42"/>
      <c r="B1453" s="58"/>
      <c r="C1453" s="42"/>
      <c r="D1453" s="42"/>
      <c r="E1453" s="42"/>
      <c r="F1453" s="42"/>
    </row>
    <row r="1454" spans="1:6" x14ac:dyDescent="0.3">
      <c r="A1454" s="42"/>
      <c r="B1454" s="58"/>
      <c r="C1454" s="42"/>
      <c r="D1454" s="42"/>
      <c r="E1454" s="42"/>
      <c r="F1454" s="42"/>
    </row>
    <row r="1455" spans="1:6" x14ac:dyDescent="0.3">
      <c r="A1455" s="42"/>
      <c r="B1455" s="58"/>
      <c r="C1455" s="42"/>
      <c r="D1455" s="42"/>
      <c r="E1455" s="42"/>
      <c r="F1455" s="42"/>
    </row>
    <row r="1456" spans="1:6" x14ac:dyDescent="0.3">
      <c r="A1456" s="42"/>
      <c r="B1456" s="58"/>
      <c r="C1456" s="42"/>
      <c r="D1456" s="42"/>
      <c r="E1456" s="42"/>
      <c r="F1456" s="42"/>
    </row>
    <row r="1457" spans="1:6" x14ac:dyDescent="0.3">
      <c r="A1457" s="42"/>
      <c r="B1457" s="58"/>
      <c r="C1457" s="42"/>
      <c r="D1457" s="42"/>
      <c r="E1457" s="42"/>
      <c r="F1457" s="42"/>
    </row>
    <row r="1458" spans="1:6" x14ac:dyDescent="0.3">
      <c r="A1458" s="42"/>
      <c r="B1458" s="58"/>
      <c r="C1458" s="42"/>
      <c r="D1458" s="42"/>
      <c r="E1458" s="42"/>
      <c r="F1458" s="42"/>
    </row>
    <row r="1459" spans="1:6" x14ac:dyDescent="0.3">
      <c r="A1459" s="42"/>
      <c r="B1459" s="58"/>
      <c r="C1459" s="42"/>
      <c r="D1459" s="42"/>
      <c r="E1459" s="42"/>
      <c r="F1459" s="42"/>
    </row>
    <row r="1460" spans="1:6" x14ac:dyDescent="0.3">
      <c r="A1460" s="42"/>
      <c r="B1460" s="58"/>
      <c r="C1460" s="42"/>
      <c r="D1460" s="42"/>
      <c r="E1460" s="42"/>
      <c r="F1460" s="42"/>
    </row>
    <row r="1461" spans="1:6" x14ac:dyDescent="0.3">
      <c r="A1461" s="42"/>
      <c r="B1461" s="58"/>
      <c r="C1461" s="42"/>
      <c r="D1461" s="42"/>
      <c r="E1461" s="42"/>
      <c r="F1461" s="42"/>
    </row>
    <row r="1462" spans="1:6" x14ac:dyDescent="0.3">
      <c r="A1462" s="42"/>
      <c r="B1462" s="58"/>
      <c r="C1462" s="42"/>
      <c r="D1462" s="42"/>
      <c r="E1462" s="42"/>
      <c r="F1462" s="42"/>
    </row>
    <row r="1463" spans="1:6" x14ac:dyDescent="0.3">
      <c r="A1463" s="42"/>
      <c r="B1463" s="58"/>
      <c r="C1463" s="42"/>
      <c r="D1463" s="42"/>
      <c r="E1463" s="42"/>
      <c r="F1463" s="42"/>
    </row>
    <row r="1464" spans="1:6" x14ac:dyDescent="0.3">
      <c r="A1464" s="42"/>
      <c r="B1464" s="58"/>
      <c r="C1464" s="42"/>
      <c r="D1464" s="42"/>
      <c r="E1464" s="42"/>
      <c r="F1464" s="42"/>
    </row>
    <row r="1465" spans="1:6" x14ac:dyDescent="0.3">
      <c r="A1465" s="42"/>
      <c r="B1465" s="58"/>
      <c r="C1465" s="42"/>
      <c r="D1465" s="42"/>
      <c r="E1465" s="42"/>
      <c r="F1465" s="42"/>
    </row>
    <row r="1466" spans="1:6" x14ac:dyDescent="0.3">
      <c r="A1466" s="42"/>
      <c r="B1466" s="58"/>
      <c r="C1466" s="42"/>
      <c r="D1466" s="42"/>
      <c r="E1466" s="42"/>
      <c r="F1466" s="42"/>
    </row>
    <row r="1467" spans="1:6" x14ac:dyDescent="0.3">
      <c r="A1467" s="42"/>
      <c r="B1467" s="58"/>
      <c r="C1467" s="42"/>
      <c r="D1467" s="42"/>
      <c r="E1467" s="42"/>
      <c r="F1467" s="42"/>
    </row>
    <row r="1468" spans="1:6" x14ac:dyDescent="0.3">
      <c r="A1468" s="42"/>
      <c r="B1468" s="58"/>
      <c r="C1468" s="42"/>
      <c r="D1468" s="42"/>
      <c r="E1468" s="42"/>
      <c r="F1468" s="42"/>
    </row>
    <row r="1469" spans="1:6" x14ac:dyDescent="0.3">
      <c r="A1469" s="42"/>
      <c r="B1469" s="58"/>
      <c r="C1469" s="42"/>
      <c r="D1469" s="42"/>
      <c r="E1469" s="42"/>
      <c r="F1469" s="42"/>
    </row>
    <row r="1470" spans="1:6" x14ac:dyDescent="0.3">
      <c r="A1470" s="42"/>
      <c r="B1470" s="58"/>
      <c r="C1470" s="42"/>
      <c r="D1470" s="42"/>
      <c r="E1470" s="42"/>
      <c r="F1470" s="42"/>
    </row>
    <row r="1471" spans="1:6" x14ac:dyDescent="0.3">
      <c r="A1471" s="42"/>
      <c r="B1471" s="58"/>
      <c r="C1471" s="42"/>
      <c r="D1471" s="42"/>
      <c r="E1471" s="42"/>
      <c r="F1471" s="42"/>
    </row>
    <row r="1472" spans="1:6" x14ac:dyDescent="0.3">
      <c r="A1472" s="42"/>
      <c r="B1472" s="58"/>
      <c r="C1472" s="42"/>
      <c r="D1472" s="42"/>
      <c r="E1472" s="42"/>
      <c r="F1472" s="42"/>
    </row>
    <row r="1473" spans="1:6" x14ac:dyDescent="0.3">
      <c r="A1473" s="42"/>
      <c r="B1473" s="58"/>
      <c r="C1473" s="42"/>
      <c r="D1473" s="42"/>
      <c r="E1473" s="42"/>
      <c r="F1473" s="42"/>
    </row>
    <row r="1474" spans="1:6" x14ac:dyDescent="0.3">
      <c r="A1474" s="42"/>
      <c r="B1474" s="58"/>
      <c r="C1474" s="42"/>
      <c r="D1474" s="42"/>
      <c r="E1474" s="42"/>
      <c r="F1474" s="42"/>
    </row>
    <row r="1475" spans="1:6" x14ac:dyDescent="0.3">
      <c r="A1475" s="42"/>
      <c r="B1475" s="58"/>
      <c r="C1475" s="42"/>
      <c r="D1475" s="42"/>
      <c r="E1475" s="42"/>
      <c r="F1475" s="42"/>
    </row>
    <row r="1476" spans="1:6" x14ac:dyDescent="0.3">
      <c r="A1476" s="42"/>
      <c r="B1476" s="58"/>
      <c r="C1476" s="42"/>
      <c r="D1476" s="42"/>
      <c r="E1476" s="42"/>
      <c r="F1476" s="42"/>
    </row>
    <row r="1477" spans="1:6" x14ac:dyDescent="0.3">
      <c r="A1477" s="42"/>
      <c r="B1477" s="58"/>
      <c r="C1477" s="42"/>
      <c r="D1477" s="42"/>
      <c r="E1477" s="42"/>
      <c r="F1477" s="42"/>
    </row>
    <row r="1478" spans="1:6" x14ac:dyDescent="0.3">
      <c r="A1478" s="42"/>
      <c r="B1478" s="58"/>
      <c r="C1478" s="42"/>
      <c r="D1478" s="42"/>
      <c r="E1478" s="42"/>
      <c r="F1478" s="42"/>
    </row>
    <row r="1479" spans="1:6" x14ac:dyDescent="0.3">
      <c r="A1479" s="42"/>
      <c r="B1479" s="58"/>
      <c r="C1479" s="42"/>
      <c r="D1479" s="42"/>
      <c r="E1479" s="42"/>
      <c r="F1479" s="42"/>
    </row>
    <row r="1480" spans="1:6" x14ac:dyDescent="0.3">
      <c r="A1480" s="42"/>
      <c r="B1480" s="58"/>
      <c r="C1480" s="42"/>
      <c r="D1480" s="42"/>
      <c r="E1480" s="42"/>
      <c r="F1480" s="42"/>
    </row>
    <row r="1481" spans="1:6" x14ac:dyDescent="0.3">
      <c r="A1481" s="42"/>
      <c r="B1481" s="58"/>
      <c r="C1481" s="42"/>
      <c r="D1481" s="42"/>
      <c r="E1481" s="42"/>
      <c r="F1481" s="42"/>
    </row>
    <row r="1482" spans="1:6" x14ac:dyDescent="0.3">
      <c r="A1482" s="42"/>
      <c r="B1482" s="58"/>
      <c r="C1482" s="42"/>
      <c r="D1482" s="42"/>
      <c r="E1482" s="42"/>
      <c r="F1482" s="42"/>
    </row>
    <row r="1483" spans="1:6" x14ac:dyDescent="0.3">
      <c r="A1483" s="42"/>
      <c r="B1483" s="58"/>
      <c r="C1483" s="42"/>
      <c r="D1483" s="42"/>
      <c r="E1483" s="42"/>
      <c r="F1483" s="42"/>
    </row>
    <row r="1484" spans="1:6" x14ac:dyDescent="0.3">
      <c r="A1484" s="42"/>
      <c r="B1484" s="58"/>
      <c r="C1484" s="42"/>
      <c r="D1484" s="42"/>
      <c r="E1484" s="42"/>
      <c r="F1484" s="42"/>
    </row>
    <row r="1485" spans="1:6" x14ac:dyDescent="0.3">
      <c r="A1485" s="42"/>
      <c r="B1485" s="58"/>
      <c r="C1485" s="42"/>
      <c r="D1485" s="42"/>
      <c r="E1485" s="42"/>
      <c r="F1485" s="42"/>
    </row>
    <row r="1486" spans="1:6" x14ac:dyDescent="0.3">
      <c r="A1486" s="42"/>
      <c r="B1486" s="58"/>
      <c r="C1486" s="42"/>
      <c r="D1486" s="42"/>
      <c r="E1486" s="42"/>
      <c r="F1486" s="42"/>
    </row>
    <row r="1487" spans="1:6" x14ac:dyDescent="0.3">
      <c r="A1487" s="42"/>
      <c r="B1487" s="58"/>
      <c r="C1487" s="42"/>
      <c r="D1487" s="42"/>
      <c r="E1487" s="42"/>
      <c r="F1487" s="42"/>
    </row>
    <row r="1488" spans="1:6" x14ac:dyDescent="0.3">
      <c r="A1488" s="42"/>
      <c r="B1488" s="58"/>
      <c r="C1488" s="42"/>
      <c r="D1488" s="42"/>
      <c r="E1488" s="42"/>
      <c r="F1488" s="42"/>
    </row>
    <row r="1489" spans="1:6" x14ac:dyDescent="0.3">
      <c r="A1489" s="42"/>
      <c r="B1489" s="58"/>
      <c r="C1489" s="42"/>
      <c r="D1489" s="42"/>
      <c r="E1489" s="42"/>
      <c r="F1489" s="42"/>
    </row>
    <row r="1490" spans="1:6" x14ac:dyDescent="0.3">
      <c r="A1490" s="42"/>
      <c r="B1490" s="58"/>
      <c r="C1490" s="42"/>
      <c r="D1490" s="42"/>
      <c r="E1490" s="42"/>
      <c r="F1490" s="42"/>
    </row>
    <row r="1491" spans="1:6" x14ac:dyDescent="0.3">
      <c r="A1491" s="42"/>
      <c r="B1491" s="58"/>
      <c r="C1491" s="42"/>
      <c r="D1491" s="42"/>
      <c r="E1491" s="42"/>
      <c r="F1491" s="42"/>
    </row>
    <row r="1492" spans="1:6" x14ac:dyDescent="0.3">
      <c r="A1492" s="42"/>
      <c r="B1492" s="58"/>
      <c r="C1492" s="42"/>
      <c r="D1492" s="42"/>
      <c r="E1492" s="42"/>
      <c r="F1492" s="42"/>
    </row>
    <row r="1493" spans="1:6" x14ac:dyDescent="0.3">
      <c r="A1493" s="42"/>
      <c r="B1493" s="58"/>
      <c r="C1493" s="42"/>
      <c r="D1493" s="42"/>
      <c r="E1493" s="42"/>
      <c r="F1493" s="42"/>
    </row>
    <row r="1494" spans="1:6" x14ac:dyDescent="0.3">
      <c r="A1494" s="42"/>
      <c r="B1494" s="58"/>
      <c r="C1494" s="42"/>
      <c r="D1494" s="42"/>
      <c r="E1494" s="42"/>
      <c r="F1494" s="42"/>
    </row>
    <row r="1495" spans="1:6" x14ac:dyDescent="0.3">
      <c r="A1495" s="42"/>
      <c r="B1495" s="58"/>
      <c r="C1495" s="42"/>
      <c r="D1495" s="42"/>
      <c r="E1495" s="42"/>
      <c r="F1495" s="42"/>
    </row>
    <row r="1496" spans="1:6" x14ac:dyDescent="0.3">
      <c r="A1496" s="42"/>
      <c r="B1496" s="58"/>
      <c r="C1496" s="42"/>
      <c r="D1496" s="42"/>
      <c r="E1496" s="42"/>
      <c r="F1496" s="42"/>
    </row>
    <row r="1497" spans="1:6" x14ac:dyDescent="0.3">
      <c r="A1497" s="42"/>
      <c r="B1497" s="58"/>
      <c r="C1497" s="42"/>
      <c r="D1497" s="42"/>
      <c r="E1497" s="42"/>
      <c r="F1497" s="42"/>
    </row>
    <row r="1498" spans="1:6" x14ac:dyDescent="0.3">
      <c r="A1498" s="42"/>
      <c r="B1498" s="58"/>
      <c r="C1498" s="42"/>
      <c r="D1498" s="42"/>
      <c r="E1498" s="42"/>
      <c r="F1498" s="42"/>
    </row>
    <row r="1499" spans="1:6" x14ac:dyDescent="0.3">
      <c r="A1499" s="42"/>
      <c r="B1499" s="58"/>
      <c r="C1499" s="42"/>
      <c r="D1499" s="42"/>
      <c r="E1499" s="42"/>
      <c r="F1499" s="42"/>
    </row>
    <row r="1500" spans="1:6" x14ac:dyDescent="0.3">
      <c r="A1500" s="42"/>
      <c r="B1500" s="58"/>
      <c r="C1500" s="42"/>
      <c r="D1500" s="42"/>
      <c r="E1500" s="42"/>
      <c r="F1500" s="42"/>
    </row>
    <row r="1501" spans="1:6" x14ac:dyDescent="0.3">
      <c r="A1501" s="42"/>
      <c r="B1501" s="58"/>
      <c r="C1501" s="42"/>
      <c r="D1501" s="42"/>
      <c r="E1501" s="42"/>
      <c r="F1501" s="42"/>
    </row>
    <row r="1502" spans="1:6" x14ac:dyDescent="0.3">
      <c r="A1502" s="42"/>
      <c r="B1502" s="58"/>
      <c r="C1502" s="42"/>
      <c r="D1502" s="42"/>
      <c r="E1502" s="42"/>
      <c r="F1502" s="42"/>
    </row>
    <row r="1503" spans="1:6" x14ac:dyDescent="0.3">
      <c r="A1503" s="42"/>
      <c r="B1503" s="58"/>
      <c r="C1503" s="42"/>
      <c r="D1503" s="42"/>
      <c r="E1503" s="42"/>
      <c r="F1503" s="42"/>
    </row>
    <row r="1504" spans="1:6" x14ac:dyDescent="0.3">
      <c r="A1504" s="42"/>
      <c r="B1504" s="58"/>
      <c r="C1504" s="42"/>
      <c r="D1504" s="42"/>
      <c r="E1504" s="42"/>
      <c r="F1504" s="42"/>
    </row>
    <row r="1505" spans="1:6" x14ac:dyDescent="0.3">
      <c r="A1505" s="42"/>
      <c r="B1505" s="58"/>
      <c r="C1505" s="42"/>
      <c r="D1505" s="42"/>
      <c r="E1505" s="42"/>
      <c r="F1505" s="42"/>
    </row>
    <row r="1506" spans="1:6" x14ac:dyDescent="0.3">
      <c r="A1506" s="42"/>
      <c r="B1506" s="58"/>
      <c r="C1506" s="42"/>
      <c r="D1506" s="42"/>
      <c r="E1506" s="42"/>
      <c r="F1506" s="42"/>
    </row>
    <row r="1507" spans="1:6" x14ac:dyDescent="0.3">
      <c r="A1507" s="42"/>
      <c r="B1507" s="58"/>
      <c r="C1507" s="42"/>
      <c r="D1507" s="42"/>
      <c r="E1507" s="42"/>
      <c r="F1507" s="42"/>
    </row>
    <row r="1508" spans="1:6" x14ac:dyDescent="0.3">
      <c r="A1508" s="42"/>
      <c r="B1508" s="58"/>
      <c r="C1508" s="42"/>
      <c r="D1508" s="42"/>
      <c r="E1508" s="42"/>
      <c r="F1508" s="42"/>
    </row>
    <row r="1509" spans="1:6" x14ac:dyDescent="0.3">
      <c r="A1509" s="42"/>
      <c r="B1509" s="58"/>
      <c r="C1509" s="42"/>
      <c r="D1509" s="42"/>
      <c r="E1509" s="42"/>
      <c r="F1509" s="42"/>
    </row>
    <row r="1510" spans="1:6" x14ac:dyDescent="0.3">
      <c r="A1510" s="42"/>
      <c r="B1510" s="58"/>
      <c r="C1510" s="42"/>
      <c r="D1510" s="42"/>
      <c r="E1510" s="42"/>
      <c r="F1510" s="42"/>
    </row>
    <row r="1511" spans="1:6" x14ac:dyDescent="0.3">
      <c r="A1511" s="42"/>
      <c r="B1511" s="58"/>
      <c r="C1511" s="42"/>
      <c r="D1511" s="42"/>
      <c r="E1511" s="42"/>
      <c r="F1511" s="42"/>
    </row>
    <row r="1512" spans="1:6" x14ac:dyDescent="0.3">
      <c r="A1512" s="42"/>
      <c r="B1512" s="58"/>
      <c r="C1512" s="42"/>
      <c r="D1512" s="42"/>
      <c r="E1512" s="42"/>
      <c r="F1512" s="42"/>
    </row>
    <row r="1513" spans="1:6" x14ac:dyDescent="0.3">
      <c r="A1513" s="42"/>
      <c r="B1513" s="58"/>
      <c r="C1513" s="42"/>
      <c r="D1513" s="42"/>
      <c r="E1513" s="42"/>
      <c r="F1513" s="42"/>
    </row>
    <row r="1514" spans="1:6" x14ac:dyDescent="0.3">
      <c r="A1514" s="42"/>
      <c r="B1514" s="58"/>
      <c r="C1514" s="42"/>
      <c r="D1514" s="42"/>
      <c r="E1514" s="42"/>
      <c r="F1514" s="42"/>
    </row>
    <row r="1515" spans="1:6" x14ac:dyDescent="0.3">
      <c r="A1515" s="42"/>
      <c r="B1515" s="58"/>
      <c r="C1515" s="42"/>
      <c r="D1515" s="42"/>
      <c r="E1515" s="42"/>
      <c r="F1515" s="42"/>
    </row>
    <row r="1516" spans="1:6" x14ac:dyDescent="0.3">
      <c r="A1516" s="42"/>
      <c r="B1516" s="58"/>
      <c r="C1516" s="42"/>
      <c r="D1516" s="42"/>
      <c r="E1516" s="42"/>
      <c r="F1516" s="42"/>
    </row>
    <row r="1517" spans="1:6" x14ac:dyDescent="0.3">
      <c r="A1517" s="42"/>
      <c r="B1517" s="58"/>
      <c r="C1517" s="42"/>
      <c r="D1517" s="42"/>
      <c r="E1517" s="42"/>
      <c r="F1517" s="42"/>
    </row>
    <row r="1518" spans="1:6" x14ac:dyDescent="0.3">
      <c r="A1518" s="42"/>
      <c r="B1518" s="58"/>
      <c r="C1518" s="42"/>
      <c r="D1518" s="42"/>
      <c r="E1518" s="42"/>
      <c r="F1518" s="42"/>
    </row>
    <row r="1519" spans="1:6" x14ac:dyDescent="0.3">
      <c r="A1519" s="42"/>
      <c r="B1519" s="58"/>
      <c r="C1519" s="42"/>
      <c r="D1519" s="42"/>
      <c r="E1519" s="42"/>
      <c r="F1519" s="42"/>
    </row>
    <row r="1520" spans="1:6" x14ac:dyDescent="0.3">
      <c r="A1520" s="42"/>
      <c r="B1520" s="58"/>
      <c r="C1520" s="42"/>
      <c r="D1520" s="42"/>
      <c r="E1520" s="42"/>
      <c r="F1520" s="42"/>
    </row>
    <row r="1521" spans="1:6" x14ac:dyDescent="0.3">
      <c r="A1521" s="42"/>
      <c r="B1521" s="58"/>
      <c r="C1521" s="42"/>
      <c r="D1521" s="42"/>
      <c r="E1521" s="42"/>
      <c r="F1521" s="42"/>
    </row>
    <row r="1522" spans="1:6" x14ac:dyDescent="0.3">
      <c r="A1522" s="42"/>
      <c r="B1522" s="58"/>
      <c r="C1522" s="42"/>
      <c r="D1522" s="42"/>
      <c r="E1522" s="42"/>
      <c r="F1522" s="42"/>
    </row>
    <row r="1523" spans="1:6" x14ac:dyDescent="0.3">
      <c r="A1523" s="42"/>
      <c r="B1523" s="58"/>
      <c r="C1523" s="42"/>
      <c r="D1523" s="42"/>
      <c r="E1523" s="42"/>
      <c r="F1523" s="42"/>
    </row>
    <row r="1524" spans="1:6" x14ac:dyDescent="0.3">
      <c r="A1524" s="42"/>
      <c r="B1524" s="58"/>
      <c r="C1524" s="42"/>
      <c r="D1524" s="42"/>
      <c r="E1524" s="42"/>
      <c r="F1524" s="42"/>
    </row>
    <row r="1525" spans="1:6" x14ac:dyDescent="0.3">
      <c r="A1525" s="42"/>
      <c r="B1525" s="58"/>
      <c r="C1525" s="42"/>
      <c r="D1525" s="42"/>
      <c r="E1525" s="42"/>
      <c r="F1525" s="42"/>
    </row>
    <row r="1526" spans="1:6" x14ac:dyDescent="0.3">
      <c r="A1526" s="42"/>
      <c r="B1526" s="58"/>
      <c r="C1526" s="42"/>
      <c r="D1526" s="42"/>
      <c r="E1526" s="42"/>
      <c r="F1526" s="42"/>
    </row>
    <row r="1527" spans="1:6" x14ac:dyDescent="0.3">
      <c r="A1527" s="42"/>
      <c r="B1527" s="58"/>
      <c r="C1527" s="42"/>
      <c r="D1527" s="42"/>
      <c r="E1527" s="42"/>
      <c r="F1527" s="42"/>
    </row>
    <row r="1528" spans="1:6" x14ac:dyDescent="0.3">
      <c r="A1528" s="42"/>
      <c r="B1528" s="58"/>
      <c r="C1528" s="42"/>
      <c r="D1528" s="42"/>
      <c r="E1528" s="42"/>
      <c r="F1528" s="42"/>
    </row>
    <row r="1529" spans="1:6" x14ac:dyDescent="0.3">
      <c r="A1529" s="42"/>
      <c r="B1529" s="58"/>
      <c r="C1529" s="42"/>
      <c r="D1529" s="42"/>
      <c r="E1529" s="42"/>
      <c r="F1529" s="42"/>
    </row>
    <row r="1530" spans="1:6" x14ac:dyDescent="0.3">
      <c r="A1530" s="42"/>
      <c r="B1530" s="58"/>
      <c r="C1530" s="42"/>
      <c r="D1530" s="42"/>
      <c r="E1530" s="42"/>
      <c r="F1530" s="42"/>
    </row>
    <row r="1531" spans="1:6" x14ac:dyDescent="0.3">
      <c r="A1531" s="42"/>
      <c r="B1531" s="58"/>
      <c r="C1531" s="42"/>
      <c r="D1531" s="42"/>
      <c r="E1531" s="42"/>
      <c r="F1531" s="42"/>
    </row>
    <row r="1532" spans="1:6" x14ac:dyDescent="0.3">
      <c r="A1532" s="42"/>
      <c r="B1532" s="58"/>
      <c r="C1532" s="42"/>
      <c r="D1532" s="42"/>
      <c r="E1532" s="42"/>
      <c r="F1532" s="42"/>
    </row>
    <row r="1533" spans="1:6" x14ac:dyDescent="0.3">
      <c r="A1533" s="42"/>
      <c r="B1533" s="58"/>
      <c r="C1533" s="42"/>
      <c r="D1533" s="42"/>
      <c r="E1533" s="42"/>
      <c r="F1533" s="42"/>
    </row>
    <row r="1534" spans="1:6" x14ac:dyDescent="0.3">
      <c r="A1534" s="42"/>
      <c r="B1534" s="58"/>
      <c r="C1534" s="42"/>
      <c r="D1534" s="42"/>
      <c r="E1534" s="42"/>
      <c r="F1534" s="42"/>
    </row>
    <row r="1535" spans="1:6" x14ac:dyDescent="0.3">
      <c r="A1535" s="42"/>
      <c r="B1535" s="58"/>
      <c r="C1535" s="42"/>
      <c r="D1535" s="42"/>
      <c r="E1535" s="42"/>
      <c r="F1535" s="42"/>
    </row>
    <row r="1536" spans="1:6" x14ac:dyDescent="0.3">
      <c r="A1536" s="42"/>
      <c r="B1536" s="58"/>
      <c r="C1536" s="42"/>
      <c r="D1536" s="42"/>
      <c r="E1536" s="42"/>
      <c r="F1536" s="42"/>
    </row>
    <row r="1537" spans="1:6" x14ac:dyDescent="0.3">
      <c r="A1537" s="42"/>
      <c r="B1537" s="58"/>
      <c r="C1537" s="42"/>
      <c r="D1537" s="42"/>
      <c r="E1537" s="42"/>
      <c r="F1537" s="42"/>
    </row>
    <row r="1538" spans="1:6" x14ac:dyDescent="0.3">
      <c r="A1538" s="42"/>
      <c r="B1538" s="58"/>
      <c r="C1538" s="42"/>
      <c r="D1538" s="42"/>
      <c r="E1538" s="42"/>
      <c r="F1538" s="42"/>
    </row>
    <row r="1539" spans="1:6" x14ac:dyDescent="0.3">
      <c r="A1539" s="42"/>
      <c r="B1539" s="58"/>
      <c r="C1539" s="42"/>
      <c r="D1539" s="42"/>
      <c r="E1539" s="42"/>
      <c r="F1539" s="42"/>
    </row>
    <row r="1540" spans="1:6" x14ac:dyDescent="0.3">
      <c r="A1540" s="42"/>
      <c r="B1540" s="58"/>
      <c r="C1540" s="42"/>
      <c r="D1540" s="42"/>
      <c r="E1540" s="42"/>
      <c r="F1540" s="42"/>
    </row>
    <row r="1541" spans="1:6" x14ac:dyDescent="0.3">
      <c r="A1541" s="42"/>
      <c r="B1541" s="58"/>
      <c r="C1541" s="42"/>
      <c r="D1541" s="42"/>
      <c r="E1541" s="42"/>
      <c r="F1541" s="42"/>
    </row>
    <row r="1542" spans="1:6" x14ac:dyDescent="0.3">
      <c r="A1542" s="42"/>
      <c r="B1542" s="58"/>
      <c r="C1542" s="42"/>
      <c r="D1542" s="42"/>
      <c r="E1542" s="42"/>
      <c r="F1542" s="42"/>
    </row>
    <row r="1543" spans="1:6" x14ac:dyDescent="0.3">
      <c r="A1543" s="42"/>
      <c r="B1543" s="58"/>
      <c r="C1543" s="42"/>
      <c r="D1543" s="42"/>
      <c r="E1543" s="42"/>
      <c r="F1543" s="42"/>
    </row>
    <row r="1544" spans="1:6" x14ac:dyDescent="0.3">
      <c r="A1544" s="42"/>
      <c r="B1544" s="58"/>
      <c r="C1544" s="42"/>
      <c r="D1544" s="42"/>
      <c r="E1544" s="42"/>
      <c r="F1544" s="42"/>
    </row>
    <row r="1545" spans="1:6" x14ac:dyDescent="0.3">
      <c r="A1545" s="42"/>
      <c r="B1545" s="58"/>
      <c r="C1545" s="42"/>
      <c r="D1545" s="42"/>
      <c r="E1545" s="42"/>
      <c r="F1545" s="42"/>
    </row>
    <row r="1546" spans="1:6" x14ac:dyDescent="0.3">
      <c r="A1546" s="42"/>
      <c r="B1546" s="58"/>
      <c r="C1546" s="42"/>
      <c r="D1546" s="42"/>
      <c r="E1546" s="42"/>
      <c r="F1546" s="42"/>
    </row>
    <row r="1547" spans="1:6" x14ac:dyDescent="0.3">
      <c r="A1547" s="42"/>
      <c r="B1547" s="58"/>
      <c r="C1547" s="42"/>
      <c r="D1547" s="42"/>
      <c r="E1547" s="42"/>
      <c r="F1547" s="42"/>
    </row>
    <row r="1548" spans="1:6" x14ac:dyDescent="0.3">
      <c r="A1548" s="42"/>
      <c r="B1548" s="58"/>
      <c r="C1548" s="42"/>
      <c r="D1548" s="42"/>
      <c r="E1548" s="42"/>
      <c r="F1548" s="42"/>
    </row>
    <row r="1549" spans="1:6" x14ac:dyDescent="0.3">
      <c r="A1549" s="42"/>
      <c r="B1549" s="58"/>
      <c r="C1549" s="42"/>
      <c r="D1549" s="42"/>
      <c r="E1549" s="42"/>
      <c r="F1549" s="42"/>
    </row>
    <row r="1550" spans="1:6" x14ac:dyDescent="0.3">
      <c r="A1550" s="42"/>
      <c r="B1550" s="58"/>
      <c r="C1550" s="42"/>
      <c r="D1550" s="42"/>
      <c r="E1550" s="42"/>
      <c r="F1550" s="42"/>
    </row>
    <row r="1551" spans="1:6" x14ac:dyDescent="0.3">
      <c r="A1551" s="42"/>
      <c r="B1551" s="58"/>
      <c r="C1551" s="42"/>
      <c r="D1551" s="42"/>
      <c r="E1551" s="42"/>
      <c r="F1551" s="42"/>
    </row>
    <row r="1552" spans="1:6" x14ac:dyDescent="0.3">
      <c r="A1552" s="42"/>
      <c r="B1552" s="58"/>
      <c r="C1552" s="42"/>
      <c r="D1552" s="42"/>
      <c r="E1552" s="42"/>
      <c r="F1552" s="42"/>
    </row>
    <row r="1553" spans="1:6" x14ac:dyDescent="0.3">
      <c r="A1553" s="42"/>
      <c r="B1553" s="58"/>
      <c r="C1553" s="42"/>
      <c r="D1553" s="42"/>
      <c r="E1553" s="42"/>
      <c r="F1553" s="42"/>
    </row>
    <row r="1554" spans="1:6" x14ac:dyDescent="0.3">
      <c r="A1554" s="42"/>
      <c r="B1554" s="58"/>
      <c r="C1554" s="42"/>
      <c r="D1554" s="42"/>
      <c r="E1554" s="42"/>
      <c r="F1554" s="42"/>
    </row>
    <row r="1555" spans="1:6" x14ac:dyDescent="0.3">
      <c r="A1555" s="42"/>
      <c r="B1555" s="58"/>
      <c r="C1555" s="42"/>
      <c r="D1555" s="42"/>
      <c r="E1555" s="42"/>
      <c r="F1555" s="42"/>
    </row>
    <row r="1556" spans="1:6" x14ac:dyDescent="0.3">
      <c r="A1556" s="42"/>
      <c r="B1556" s="58"/>
      <c r="C1556" s="42"/>
      <c r="D1556" s="42"/>
      <c r="E1556" s="42"/>
      <c r="F1556" s="42"/>
    </row>
    <row r="1557" spans="1:6" x14ac:dyDescent="0.3">
      <c r="A1557" s="42"/>
      <c r="B1557" s="58"/>
      <c r="C1557" s="42"/>
      <c r="D1557" s="42"/>
      <c r="E1557" s="42"/>
      <c r="F1557" s="42"/>
    </row>
    <row r="1558" spans="1:6" x14ac:dyDescent="0.3">
      <c r="A1558" s="42"/>
      <c r="B1558" s="58"/>
      <c r="C1558" s="42"/>
      <c r="D1558" s="42"/>
      <c r="E1558" s="42"/>
      <c r="F1558" s="42"/>
    </row>
    <row r="1559" spans="1:6" x14ac:dyDescent="0.3">
      <c r="A1559" s="42"/>
      <c r="B1559" s="58"/>
      <c r="C1559" s="42"/>
      <c r="D1559" s="42"/>
      <c r="E1559" s="42"/>
      <c r="F1559" s="42"/>
    </row>
    <row r="1560" spans="1:6" x14ac:dyDescent="0.3">
      <c r="A1560" s="42"/>
      <c r="B1560" s="58"/>
      <c r="C1560" s="42"/>
      <c r="D1560" s="42"/>
      <c r="E1560" s="42"/>
      <c r="F1560" s="42"/>
    </row>
    <row r="1561" spans="1:6" x14ac:dyDescent="0.3">
      <c r="A1561" s="42"/>
      <c r="B1561" s="58"/>
      <c r="C1561" s="42"/>
      <c r="D1561" s="42"/>
      <c r="E1561" s="42"/>
      <c r="F1561" s="42"/>
    </row>
    <row r="1562" spans="1:6" x14ac:dyDescent="0.3">
      <c r="A1562" s="42"/>
      <c r="B1562" s="58"/>
      <c r="C1562" s="42"/>
      <c r="D1562" s="42"/>
      <c r="E1562" s="42"/>
      <c r="F1562" s="42"/>
    </row>
    <row r="1563" spans="1:6" x14ac:dyDescent="0.3">
      <c r="A1563" s="42"/>
      <c r="B1563" s="58"/>
      <c r="C1563" s="42"/>
      <c r="D1563" s="42"/>
      <c r="E1563" s="42"/>
      <c r="F1563" s="42"/>
    </row>
    <row r="1564" spans="1:6" x14ac:dyDescent="0.3">
      <c r="A1564" s="42"/>
      <c r="B1564" s="58"/>
      <c r="C1564" s="42"/>
      <c r="D1564" s="42"/>
      <c r="E1564" s="42"/>
      <c r="F1564" s="42"/>
    </row>
    <row r="1565" spans="1:6" x14ac:dyDescent="0.3">
      <c r="A1565" s="42"/>
      <c r="B1565" s="58"/>
      <c r="C1565" s="42"/>
      <c r="D1565" s="42"/>
      <c r="E1565" s="42"/>
      <c r="F1565" s="42"/>
    </row>
    <row r="1566" spans="1:6" x14ac:dyDescent="0.3">
      <c r="A1566" s="42"/>
      <c r="B1566" s="58"/>
      <c r="C1566" s="42"/>
      <c r="D1566" s="42"/>
      <c r="E1566" s="42"/>
      <c r="F1566" s="42"/>
    </row>
    <row r="1567" spans="1:6" x14ac:dyDescent="0.3">
      <c r="A1567" s="42"/>
      <c r="B1567" s="58"/>
      <c r="C1567" s="42"/>
      <c r="D1567" s="42"/>
      <c r="E1567" s="42"/>
      <c r="F1567" s="42"/>
    </row>
    <row r="1568" spans="1:6" x14ac:dyDescent="0.3">
      <c r="A1568" s="42"/>
      <c r="B1568" s="58"/>
      <c r="C1568" s="42"/>
      <c r="D1568" s="42"/>
      <c r="E1568" s="42"/>
      <c r="F1568" s="42"/>
    </row>
    <row r="1569" spans="1:6" x14ac:dyDescent="0.3">
      <c r="A1569" s="42"/>
      <c r="B1569" s="58"/>
      <c r="C1569" s="42"/>
      <c r="D1569" s="42"/>
      <c r="E1569" s="42"/>
      <c r="F1569" s="42"/>
    </row>
    <row r="1570" spans="1:6" x14ac:dyDescent="0.3">
      <c r="A1570" s="42"/>
      <c r="B1570" s="58"/>
      <c r="C1570" s="42"/>
      <c r="D1570" s="42"/>
      <c r="E1570" s="42"/>
      <c r="F1570" s="42"/>
    </row>
    <row r="1571" spans="1:6" x14ac:dyDescent="0.3">
      <c r="A1571" s="42"/>
      <c r="B1571" s="58"/>
      <c r="C1571" s="42"/>
      <c r="D1571" s="42"/>
      <c r="E1571" s="42"/>
      <c r="F1571" s="42"/>
    </row>
    <row r="1572" spans="1:6" x14ac:dyDescent="0.3">
      <c r="A1572" s="42"/>
      <c r="B1572" s="58"/>
      <c r="C1572" s="42"/>
      <c r="D1572" s="42"/>
      <c r="E1572" s="42"/>
      <c r="F1572" s="42"/>
    </row>
    <row r="1573" spans="1:6" x14ac:dyDescent="0.3">
      <c r="A1573" s="42"/>
      <c r="B1573" s="58"/>
      <c r="C1573" s="42"/>
      <c r="D1573" s="42"/>
      <c r="E1573" s="42"/>
      <c r="F1573" s="42"/>
    </row>
    <row r="1574" spans="1:6" x14ac:dyDescent="0.3">
      <c r="A1574" s="42"/>
      <c r="B1574" s="58"/>
      <c r="C1574" s="42"/>
      <c r="D1574" s="42"/>
      <c r="E1574" s="42"/>
      <c r="F1574" s="42"/>
    </row>
    <row r="1575" spans="1:6" x14ac:dyDescent="0.3">
      <c r="A1575" s="42"/>
      <c r="B1575" s="58"/>
      <c r="C1575" s="42"/>
      <c r="D1575" s="42"/>
      <c r="E1575" s="42"/>
      <c r="F1575" s="42"/>
    </row>
    <row r="1576" spans="1:6" x14ac:dyDescent="0.3">
      <c r="A1576" s="42"/>
      <c r="B1576" s="58"/>
      <c r="C1576" s="42"/>
      <c r="D1576" s="42"/>
      <c r="E1576" s="42"/>
      <c r="F1576" s="42"/>
    </row>
    <row r="1577" spans="1:6" x14ac:dyDescent="0.3">
      <c r="A1577" s="42"/>
      <c r="B1577" s="58"/>
      <c r="C1577" s="42"/>
      <c r="D1577" s="42"/>
      <c r="E1577" s="42"/>
      <c r="F1577" s="42"/>
    </row>
    <row r="1578" spans="1:6" x14ac:dyDescent="0.3">
      <c r="A1578" s="42"/>
      <c r="B1578" s="58"/>
      <c r="C1578" s="42"/>
      <c r="D1578" s="42"/>
      <c r="E1578" s="42"/>
      <c r="F1578" s="42"/>
    </row>
    <row r="1579" spans="1:6" x14ac:dyDescent="0.3">
      <c r="A1579" s="42"/>
      <c r="B1579" s="58"/>
      <c r="C1579" s="42"/>
      <c r="D1579" s="42"/>
      <c r="E1579" s="42"/>
      <c r="F1579" s="42"/>
    </row>
    <row r="1580" spans="1:6" x14ac:dyDescent="0.3">
      <c r="A1580" s="42"/>
      <c r="B1580" s="58"/>
      <c r="C1580" s="42"/>
      <c r="D1580" s="42"/>
      <c r="E1580" s="42"/>
      <c r="F1580" s="42"/>
    </row>
    <row r="1581" spans="1:6" x14ac:dyDescent="0.3">
      <c r="A1581" s="42"/>
      <c r="B1581" s="58"/>
      <c r="C1581" s="42"/>
      <c r="D1581" s="42"/>
      <c r="E1581" s="42"/>
      <c r="F1581" s="42"/>
    </row>
    <row r="1582" spans="1:6" x14ac:dyDescent="0.3">
      <c r="A1582" s="42"/>
      <c r="B1582" s="58"/>
      <c r="C1582" s="42"/>
      <c r="D1582" s="42"/>
      <c r="E1582" s="42"/>
      <c r="F1582" s="42"/>
    </row>
    <row r="1583" spans="1:6" x14ac:dyDescent="0.3">
      <c r="A1583" s="42"/>
      <c r="B1583" s="58"/>
      <c r="C1583" s="42"/>
      <c r="D1583" s="42"/>
      <c r="E1583" s="42"/>
      <c r="F1583" s="42"/>
    </row>
    <row r="1584" spans="1:6" x14ac:dyDescent="0.3">
      <c r="A1584" s="42"/>
      <c r="B1584" s="58"/>
      <c r="C1584" s="42"/>
      <c r="D1584" s="42"/>
      <c r="E1584" s="42"/>
      <c r="F1584" s="42"/>
    </row>
    <row r="1585" spans="1:6" x14ac:dyDescent="0.3">
      <c r="A1585" s="42"/>
      <c r="B1585" s="58"/>
      <c r="C1585" s="42"/>
      <c r="D1585" s="42"/>
      <c r="E1585" s="42"/>
      <c r="F1585" s="42"/>
    </row>
    <row r="1586" spans="1:6" x14ac:dyDescent="0.3">
      <c r="A1586" s="42"/>
      <c r="B1586" s="58"/>
      <c r="C1586" s="42"/>
      <c r="D1586" s="42"/>
      <c r="E1586" s="42"/>
      <c r="F1586" s="42"/>
    </row>
    <row r="1587" spans="1:6" x14ac:dyDescent="0.3">
      <c r="A1587" s="42"/>
      <c r="B1587" s="58"/>
      <c r="C1587" s="42"/>
      <c r="D1587" s="42"/>
      <c r="E1587" s="42"/>
      <c r="F1587" s="42"/>
    </row>
    <row r="1588" spans="1:6" x14ac:dyDescent="0.3">
      <c r="A1588" s="42"/>
      <c r="B1588" s="58"/>
      <c r="C1588" s="42"/>
      <c r="D1588" s="42"/>
      <c r="E1588" s="42"/>
      <c r="F1588" s="42"/>
    </row>
    <row r="1589" spans="1:6" x14ac:dyDescent="0.3">
      <c r="A1589" s="42"/>
      <c r="B1589" s="58"/>
      <c r="C1589" s="42"/>
      <c r="D1589" s="42"/>
      <c r="E1589" s="42"/>
      <c r="F1589" s="42"/>
    </row>
    <row r="1590" spans="1:6" x14ac:dyDescent="0.3">
      <c r="A1590" s="42"/>
      <c r="B1590" s="58"/>
      <c r="C1590" s="42"/>
      <c r="D1590" s="42"/>
      <c r="E1590" s="42"/>
      <c r="F1590" s="42"/>
    </row>
    <row r="1591" spans="1:6" x14ac:dyDescent="0.3">
      <c r="A1591" s="42"/>
      <c r="B1591" s="58"/>
      <c r="C1591" s="42"/>
      <c r="D1591" s="42"/>
      <c r="E1591" s="42"/>
      <c r="F1591" s="42"/>
    </row>
    <row r="1592" spans="1:6" x14ac:dyDescent="0.3">
      <c r="A1592" s="42"/>
      <c r="B1592" s="58"/>
      <c r="C1592" s="42"/>
      <c r="D1592" s="42"/>
      <c r="E1592" s="42"/>
      <c r="F1592" s="42"/>
    </row>
    <row r="1593" spans="1:6" x14ac:dyDescent="0.3">
      <c r="A1593" s="42"/>
      <c r="B1593" s="58"/>
      <c r="C1593" s="42"/>
      <c r="D1593" s="42"/>
      <c r="E1593" s="42"/>
      <c r="F1593" s="42"/>
    </row>
    <row r="1594" spans="1:6" x14ac:dyDescent="0.3">
      <c r="A1594" s="42"/>
      <c r="B1594" s="58"/>
      <c r="C1594" s="42"/>
      <c r="D1594" s="42"/>
      <c r="E1594" s="42"/>
      <c r="F1594" s="42"/>
    </row>
    <row r="1595" spans="1:6" x14ac:dyDescent="0.3">
      <c r="A1595" s="42"/>
      <c r="B1595" s="58"/>
      <c r="C1595" s="42"/>
      <c r="D1595" s="42"/>
      <c r="E1595" s="42"/>
      <c r="F1595" s="42"/>
    </row>
    <row r="1596" spans="1:6" x14ac:dyDescent="0.3">
      <c r="A1596" s="42"/>
      <c r="B1596" s="58"/>
      <c r="C1596" s="42"/>
      <c r="D1596" s="42"/>
      <c r="E1596" s="42"/>
      <c r="F1596" s="42"/>
    </row>
    <row r="1597" spans="1:6" x14ac:dyDescent="0.3">
      <c r="A1597" s="42"/>
      <c r="B1597" s="58"/>
      <c r="C1597" s="42"/>
      <c r="D1597" s="42"/>
      <c r="E1597" s="42"/>
      <c r="F1597" s="42"/>
    </row>
    <row r="1598" spans="1:6" x14ac:dyDescent="0.3">
      <c r="A1598" s="42"/>
      <c r="B1598" s="58"/>
      <c r="C1598" s="42"/>
      <c r="D1598" s="42"/>
      <c r="E1598" s="42"/>
      <c r="F1598" s="42"/>
    </row>
    <row r="1599" spans="1:6" x14ac:dyDescent="0.3">
      <c r="A1599" s="42"/>
      <c r="B1599" s="58"/>
      <c r="C1599" s="42"/>
      <c r="D1599" s="42"/>
      <c r="E1599" s="42"/>
      <c r="F1599" s="42"/>
    </row>
    <row r="1600" spans="1:6" x14ac:dyDescent="0.3">
      <c r="A1600" s="42"/>
      <c r="B1600" s="58"/>
      <c r="C1600" s="42"/>
      <c r="D1600" s="42"/>
      <c r="E1600" s="42"/>
      <c r="F1600" s="42"/>
    </row>
    <row r="1601" spans="1:6" x14ac:dyDescent="0.3">
      <c r="A1601" s="42"/>
      <c r="B1601" s="58"/>
      <c r="C1601" s="42"/>
      <c r="D1601" s="42"/>
      <c r="E1601" s="42"/>
      <c r="F1601" s="42"/>
    </row>
    <row r="1602" spans="1:6" x14ac:dyDescent="0.3">
      <c r="A1602" s="42"/>
      <c r="B1602" s="58"/>
      <c r="C1602" s="42"/>
      <c r="D1602" s="42"/>
      <c r="E1602" s="42"/>
      <c r="F1602" s="42"/>
    </row>
    <row r="1603" spans="1:6" x14ac:dyDescent="0.3">
      <c r="A1603" s="42"/>
      <c r="B1603" s="58"/>
      <c r="C1603" s="42"/>
      <c r="D1603" s="42"/>
      <c r="E1603" s="42"/>
      <c r="F1603" s="42"/>
    </row>
    <row r="1604" spans="1:6" x14ac:dyDescent="0.3">
      <c r="A1604" s="42"/>
      <c r="B1604" s="58"/>
      <c r="C1604" s="42"/>
      <c r="D1604" s="42"/>
      <c r="E1604" s="42"/>
      <c r="F1604" s="42"/>
    </row>
    <row r="1605" spans="1:6" x14ac:dyDescent="0.3">
      <c r="A1605" s="42"/>
      <c r="B1605" s="58"/>
      <c r="C1605" s="42"/>
      <c r="D1605" s="42"/>
      <c r="E1605" s="42"/>
      <c r="F1605" s="42"/>
    </row>
    <row r="1606" spans="1:6" x14ac:dyDescent="0.3">
      <c r="A1606" s="42"/>
      <c r="B1606" s="58"/>
      <c r="C1606" s="42"/>
      <c r="D1606" s="42"/>
      <c r="E1606" s="42"/>
      <c r="F1606" s="42"/>
    </row>
    <row r="1607" spans="1:6" x14ac:dyDescent="0.3">
      <c r="A1607" s="42"/>
      <c r="B1607" s="58"/>
      <c r="C1607" s="42"/>
      <c r="D1607" s="42"/>
      <c r="E1607" s="42"/>
      <c r="F1607" s="42"/>
    </row>
    <row r="1608" spans="1:6" x14ac:dyDescent="0.3">
      <c r="A1608" s="42"/>
      <c r="B1608" s="58"/>
      <c r="C1608" s="42"/>
      <c r="D1608" s="42"/>
      <c r="E1608" s="42"/>
      <c r="F1608" s="42"/>
    </row>
    <row r="1609" spans="1:6" x14ac:dyDescent="0.3">
      <c r="A1609" s="42"/>
      <c r="B1609" s="58"/>
      <c r="C1609" s="42"/>
      <c r="D1609" s="42"/>
      <c r="E1609" s="42"/>
      <c r="F1609" s="42"/>
    </row>
    <row r="1610" spans="1:6" x14ac:dyDescent="0.3">
      <c r="A1610" s="42"/>
      <c r="B1610" s="58"/>
      <c r="C1610" s="42"/>
      <c r="D1610" s="42"/>
      <c r="E1610" s="42"/>
      <c r="F1610" s="42"/>
    </row>
    <row r="1611" spans="1:6" x14ac:dyDescent="0.3">
      <c r="A1611" s="42"/>
      <c r="B1611" s="58"/>
      <c r="C1611" s="42"/>
      <c r="D1611" s="42"/>
      <c r="E1611" s="42"/>
      <c r="F1611" s="42"/>
    </row>
    <row r="1612" spans="1:6" x14ac:dyDescent="0.3">
      <c r="A1612" s="42"/>
      <c r="B1612" s="58"/>
      <c r="C1612" s="42"/>
      <c r="D1612" s="42"/>
      <c r="E1612" s="42"/>
      <c r="F1612" s="42"/>
    </row>
    <row r="1613" spans="1:6" x14ac:dyDescent="0.3">
      <c r="A1613" s="42"/>
      <c r="B1613" s="58"/>
      <c r="C1613" s="42"/>
      <c r="D1613" s="42"/>
      <c r="E1613" s="42"/>
      <c r="F1613" s="42"/>
    </row>
    <row r="1614" spans="1:6" x14ac:dyDescent="0.3">
      <c r="A1614" s="42"/>
      <c r="B1614" s="58"/>
      <c r="C1614" s="42"/>
      <c r="D1614" s="42"/>
      <c r="E1614" s="42"/>
      <c r="F1614" s="42"/>
    </row>
    <row r="1615" spans="1:6" x14ac:dyDescent="0.3">
      <c r="A1615" s="42"/>
      <c r="B1615" s="58"/>
      <c r="C1615" s="42"/>
      <c r="D1615" s="42"/>
      <c r="E1615" s="42"/>
      <c r="F1615" s="42"/>
    </row>
    <row r="1616" spans="1:6" x14ac:dyDescent="0.3">
      <c r="A1616" s="42"/>
      <c r="B1616" s="58"/>
      <c r="C1616" s="42"/>
      <c r="D1616" s="42"/>
      <c r="E1616" s="42"/>
      <c r="F1616" s="42"/>
    </row>
    <row r="1617" spans="1:6" x14ac:dyDescent="0.3">
      <c r="A1617" s="42"/>
      <c r="B1617" s="58"/>
      <c r="C1617" s="42"/>
      <c r="D1617" s="42"/>
      <c r="E1617" s="42"/>
      <c r="F1617" s="42"/>
    </row>
    <row r="1618" spans="1:6" x14ac:dyDescent="0.3">
      <c r="A1618" s="42"/>
      <c r="B1618" s="58"/>
      <c r="C1618" s="42"/>
      <c r="D1618" s="42"/>
      <c r="E1618" s="42"/>
      <c r="F1618" s="42"/>
    </row>
    <row r="1619" spans="1:6" x14ac:dyDescent="0.3">
      <c r="A1619" s="42"/>
      <c r="B1619" s="58"/>
      <c r="C1619" s="42"/>
      <c r="D1619" s="42"/>
      <c r="E1619" s="42"/>
      <c r="F1619" s="42"/>
    </row>
    <row r="1620" spans="1:6" x14ac:dyDescent="0.3">
      <c r="A1620" s="42"/>
      <c r="B1620" s="58"/>
      <c r="C1620" s="42"/>
      <c r="D1620" s="42"/>
      <c r="E1620" s="42"/>
      <c r="F1620" s="42"/>
    </row>
    <row r="1621" spans="1:6" x14ac:dyDescent="0.3">
      <c r="A1621" s="42"/>
      <c r="B1621" s="58"/>
      <c r="C1621" s="42"/>
      <c r="D1621" s="42"/>
      <c r="E1621" s="42"/>
      <c r="F1621" s="42"/>
    </row>
    <row r="1622" spans="1:6" x14ac:dyDescent="0.3">
      <c r="A1622" s="42"/>
      <c r="B1622" s="58"/>
      <c r="C1622" s="42"/>
      <c r="D1622" s="42"/>
      <c r="E1622" s="42"/>
      <c r="F1622" s="42"/>
    </row>
    <row r="1623" spans="1:6" x14ac:dyDescent="0.3">
      <c r="A1623" s="42"/>
      <c r="B1623" s="58"/>
      <c r="C1623" s="42"/>
      <c r="D1623" s="42"/>
      <c r="E1623" s="42"/>
      <c r="F1623" s="42"/>
    </row>
    <row r="1624" spans="1:6" x14ac:dyDescent="0.3">
      <c r="A1624" s="42"/>
      <c r="B1624" s="58"/>
      <c r="C1624" s="42"/>
      <c r="D1624" s="42"/>
      <c r="E1624" s="42"/>
      <c r="F1624" s="42"/>
    </row>
    <row r="1625" spans="1:6" x14ac:dyDescent="0.3">
      <c r="A1625" s="42"/>
      <c r="B1625" s="58"/>
      <c r="C1625" s="42"/>
      <c r="D1625" s="42"/>
      <c r="E1625" s="42"/>
      <c r="F1625" s="42"/>
    </row>
    <row r="1626" spans="1:6" x14ac:dyDescent="0.3">
      <c r="A1626" s="42"/>
      <c r="B1626" s="58"/>
      <c r="C1626" s="42"/>
      <c r="D1626" s="42"/>
      <c r="E1626" s="42"/>
      <c r="F1626" s="42"/>
    </row>
    <row r="1627" spans="1:6" x14ac:dyDescent="0.3">
      <c r="A1627" s="42"/>
      <c r="B1627" s="58"/>
      <c r="C1627" s="42"/>
      <c r="D1627" s="42"/>
      <c r="E1627" s="42"/>
      <c r="F1627" s="42"/>
    </row>
    <row r="1628" spans="1:6" x14ac:dyDescent="0.3">
      <c r="A1628" s="42"/>
      <c r="B1628" s="58"/>
      <c r="C1628" s="42"/>
      <c r="D1628" s="42"/>
      <c r="E1628" s="42"/>
      <c r="F1628" s="42"/>
    </row>
    <row r="1629" spans="1:6" x14ac:dyDescent="0.3">
      <c r="A1629" s="42"/>
      <c r="B1629" s="58"/>
      <c r="C1629" s="42"/>
      <c r="D1629" s="42"/>
      <c r="E1629" s="42"/>
      <c r="F1629" s="42"/>
    </row>
    <row r="1630" spans="1:6" x14ac:dyDescent="0.3">
      <c r="A1630" s="42"/>
      <c r="B1630" s="58"/>
      <c r="C1630" s="42"/>
      <c r="D1630" s="42"/>
      <c r="E1630" s="42"/>
      <c r="F1630" s="42"/>
    </row>
    <row r="1631" spans="1:6" x14ac:dyDescent="0.3">
      <c r="A1631" s="42"/>
      <c r="B1631" s="58"/>
      <c r="C1631" s="42"/>
      <c r="D1631" s="42"/>
      <c r="E1631" s="42"/>
      <c r="F1631" s="42"/>
    </row>
    <row r="1632" spans="1:6" x14ac:dyDescent="0.3">
      <c r="A1632" s="42"/>
      <c r="B1632" s="58"/>
      <c r="C1632" s="42"/>
      <c r="D1632" s="42"/>
      <c r="E1632" s="42"/>
      <c r="F1632" s="42"/>
    </row>
    <row r="1633" spans="1:6" x14ac:dyDescent="0.3">
      <c r="A1633" s="42"/>
      <c r="B1633" s="58"/>
      <c r="C1633" s="42"/>
      <c r="D1633" s="42"/>
      <c r="E1633" s="42"/>
      <c r="F1633" s="42"/>
    </row>
    <row r="1634" spans="1:6" x14ac:dyDescent="0.3">
      <c r="A1634" s="42"/>
      <c r="B1634" s="58"/>
      <c r="C1634" s="42"/>
      <c r="D1634" s="42"/>
      <c r="E1634" s="42"/>
      <c r="F1634" s="42"/>
    </row>
    <row r="1635" spans="1:6" x14ac:dyDescent="0.3">
      <c r="A1635" s="42"/>
      <c r="B1635" s="58"/>
      <c r="C1635" s="42"/>
      <c r="D1635" s="42"/>
      <c r="E1635" s="42"/>
      <c r="F1635" s="42"/>
    </row>
    <row r="1636" spans="1:6" x14ac:dyDescent="0.3">
      <c r="A1636" s="42"/>
      <c r="B1636" s="58"/>
      <c r="C1636" s="42"/>
      <c r="D1636" s="42"/>
      <c r="E1636" s="42"/>
      <c r="F1636" s="42"/>
    </row>
    <row r="1637" spans="1:6" x14ac:dyDescent="0.3">
      <c r="A1637" s="42"/>
      <c r="B1637" s="58"/>
      <c r="C1637" s="42"/>
      <c r="D1637" s="42"/>
      <c r="E1637" s="42"/>
      <c r="F1637" s="42"/>
    </row>
    <row r="1638" spans="1:6" x14ac:dyDescent="0.3">
      <c r="A1638" s="42"/>
      <c r="B1638" s="58"/>
      <c r="C1638" s="42"/>
      <c r="D1638" s="42"/>
      <c r="E1638" s="42"/>
      <c r="F1638" s="42"/>
    </row>
    <row r="1639" spans="1:6" x14ac:dyDescent="0.3">
      <c r="A1639" s="42"/>
      <c r="B1639" s="58"/>
      <c r="C1639" s="42"/>
      <c r="D1639" s="42"/>
      <c r="E1639" s="42"/>
      <c r="F1639" s="42"/>
    </row>
    <row r="1640" spans="1:6" x14ac:dyDescent="0.3">
      <c r="A1640" s="42"/>
      <c r="B1640" s="58"/>
      <c r="C1640" s="42"/>
      <c r="D1640" s="42"/>
      <c r="E1640" s="42"/>
      <c r="F1640" s="42"/>
    </row>
    <row r="1641" spans="1:6" x14ac:dyDescent="0.3">
      <c r="A1641" s="42"/>
      <c r="B1641" s="58"/>
      <c r="C1641" s="42"/>
      <c r="D1641" s="42"/>
      <c r="E1641" s="42"/>
      <c r="F1641" s="42"/>
    </row>
    <row r="1642" spans="1:6" x14ac:dyDescent="0.3">
      <c r="A1642" s="42"/>
      <c r="B1642" s="58"/>
      <c r="C1642" s="42"/>
      <c r="D1642" s="42"/>
      <c r="E1642" s="42"/>
      <c r="F1642" s="42"/>
    </row>
    <row r="1643" spans="1:6" x14ac:dyDescent="0.3">
      <c r="A1643" s="42"/>
      <c r="B1643" s="58"/>
      <c r="C1643" s="42"/>
      <c r="D1643" s="42"/>
      <c r="E1643" s="42"/>
      <c r="F1643" s="42"/>
    </row>
    <row r="1644" spans="1:6" x14ac:dyDescent="0.3">
      <c r="A1644" s="42"/>
      <c r="B1644" s="58"/>
      <c r="C1644" s="42"/>
      <c r="D1644" s="42"/>
      <c r="E1644" s="42"/>
      <c r="F1644" s="42"/>
    </row>
    <row r="1645" spans="1:6" x14ac:dyDescent="0.3">
      <c r="A1645" s="42"/>
      <c r="B1645" s="58"/>
      <c r="C1645" s="42"/>
      <c r="D1645" s="42"/>
      <c r="E1645" s="42"/>
      <c r="F1645" s="42"/>
    </row>
    <row r="1646" spans="1:6" x14ac:dyDescent="0.3">
      <c r="A1646" s="42"/>
      <c r="B1646" s="58"/>
      <c r="C1646" s="42"/>
      <c r="D1646" s="42"/>
      <c r="E1646" s="42"/>
      <c r="F1646" s="42"/>
    </row>
    <row r="1647" spans="1:6" x14ac:dyDescent="0.3">
      <c r="A1647" s="42"/>
      <c r="B1647" s="58"/>
      <c r="C1647" s="42"/>
      <c r="D1647" s="42"/>
      <c r="E1647" s="42"/>
      <c r="F1647" s="42"/>
    </row>
    <row r="1648" spans="1:6" x14ac:dyDescent="0.3">
      <c r="A1648" s="42"/>
      <c r="B1648" s="58"/>
      <c r="C1648" s="42"/>
      <c r="D1648" s="42"/>
      <c r="E1648" s="42"/>
      <c r="F1648" s="42"/>
    </row>
    <row r="1649" spans="1:6" x14ac:dyDescent="0.3">
      <c r="A1649" s="42"/>
      <c r="B1649" s="58"/>
      <c r="C1649" s="42"/>
      <c r="D1649" s="42"/>
      <c r="E1649" s="42"/>
      <c r="F1649" s="42"/>
    </row>
    <row r="1650" spans="1:6" x14ac:dyDescent="0.3">
      <c r="A1650" s="42"/>
      <c r="B1650" s="58"/>
      <c r="C1650" s="42"/>
      <c r="D1650" s="42"/>
      <c r="E1650" s="42"/>
      <c r="F1650" s="42"/>
    </row>
    <row r="1651" spans="1:6" x14ac:dyDescent="0.3">
      <c r="A1651" s="42"/>
      <c r="B1651" s="58"/>
      <c r="C1651" s="42"/>
      <c r="D1651" s="42"/>
      <c r="E1651" s="42"/>
      <c r="F1651" s="42"/>
    </row>
    <row r="1652" spans="1:6" x14ac:dyDescent="0.3">
      <c r="A1652" s="42"/>
      <c r="B1652" s="58"/>
      <c r="C1652" s="42"/>
      <c r="D1652" s="42"/>
      <c r="E1652" s="42"/>
      <c r="F1652" s="42"/>
    </row>
    <row r="1653" spans="1:6" x14ac:dyDescent="0.3">
      <c r="A1653" s="42"/>
      <c r="B1653" s="58"/>
      <c r="C1653" s="42"/>
      <c r="D1653" s="42"/>
      <c r="E1653" s="42"/>
      <c r="F1653" s="42"/>
    </row>
    <row r="1654" spans="1:6" x14ac:dyDescent="0.3">
      <c r="A1654" s="42"/>
      <c r="B1654" s="58"/>
      <c r="C1654" s="42"/>
      <c r="D1654" s="42"/>
      <c r="E1654" s="42"/>
      <c r="F1654" s="42"/>
    </row>
    <row r="1655" spans="1:6" x14ac:dyDescent="0.3">
      <c r="A1655" s="42"/>
      <c r="B1655" s="58"/>
      <c r="C1655" s="42"/>
      <c r="D1655" s="42"/>
      <c r="E1655" s="42"/>
      <c r="F1655" s="42"/>
    </row>
    <row r="1656" spans="1:6" x14ac:dyDescent="0.3">
      <c r="A1656" s="42"/>
      <c r="B1656" s="58"/>
      <c r="C1656" s="42"/>
      <c r="D1656" s="42"/>
      <c r="E1656" s="42"/>
      <c r="F1656" s="42"/>
    </row>
    <row r="1657" spans="1:6" x14ac:dyDescent="0.3">
      <c r="A1657" s="42"/>
      <c r="B1657" s="58"/>
      <c r="C1657" s="42"/>
      <c r="D1657" s="42"/>
      <c r="E1657" s="42"/>
      <c r="F1657" s="42"/>
    </row>
    <row r="1658" spans="1:6" x14ac:dyDescent="0.3">
      <c r="A1658" s="42"/>
      <c r="B1658" s="58"/>
      <c r="C1658" s="42"/>
      <c r="D1658" s="42"/>
      <c r="E1658" s="42"/>
      <c r="F1658" s="42"/>
    </row>
    <row r="1659" spans="1:6" x14ac:dyDescent="0.3">
      <c r="A1659" s="42"/>
      <c r="B1659" s="58"/>
      <c r="C1659" s="42"/>
      <c r="D1659" s="42"/>
      <c r="E1659" s="42"/>
      <c r="F1659" s="42"/>
    </row>
    <row r="1660" spans="1:6" x14ac:dyDescent="0.3">
      <c r="A1660" s="42"/>
      <c r="B1660" s="58"/>
      <c r="C1660" s="42"/>
      <c r="D1660" s="42"/>
      <c r="E1660" s="42"/>
      <c r="F1660" s="42"/>
    </row>
    <row r="1661" spans="1:6" x14ac:dyDescent="0.3">
      <c r="A1661" s="42"/>
      <c r="B1661" s="58"/>
      <c r="C1661" s="42"/>
      <c r="D1661" s="42"/>
      <c r="E1661" s="42"/>
      <c r="F1661" s="42"/>
    </row>
    <row r="1662" spans="1:6" x14ac:dyDescent="0.3">
      <c r="A1662" s="42"/>
      <c r="B1662" s="58"/>
      <c r="C1662" s="42"/>
      <c r="D1662" s="42"/>
      <c r="E1662" s="42"/>
      <c r="F1662" s="42"/>
    </row>
    <row r="1663" spans="1:6" x14ac:dyDescent="0.3">
      <c r="A1663" s="42"/>
      <c r="B1663" s="58"/>
      <c r="C1663" s="42"/>
      <c r="D1663" s="42"/>
      <c r="E1663" s="42"/>
      <c r="F1663" s="42"/>
    </row>
    <row r="1664" spans="1:6" x14ac:dyDescent="0.3">
      <c r="A1664" s="42"/>
      <c r="B1664" s="58"/>
      <c r="C1664" s="42"/>
      <c r="D1664" s="42"/>
      <c r="E1664" s="42"/>
      <c r="F1664" s="42"/>
    </row>
    <row r="1665" spans="1:6" x14ac:dyDescent="0.3">
      <c r="A1665" s="42"/>
      <c r="B1665" s="58"/>
      <c r="C1665" s="42"/>
      <c r="D1665" s="42"/>
      <c r="E1665" s="42"/>
      <c r="F1665" s="42"/>
    </row>
    <row r="1666" spans="1:6" x14ac:dyDescent="0.3">
      <c r="A1666" s="42"/>
      <c r="B1666" s="58"/>
      <c r="C1666" s="42"/>
      <c r="D1666" s="42"/>
      <c r="E1666" s="42"/>
      <c r="F1666" s="42"/>
    </row>
    <row r="1667" spans="1:6" x14ac:dyDescent="0.3">
      <c r="A1667" s="42"/>
      <c r="B1667" s="58"/>
      <c r="C1667" s="42"/>
      <c r="D1667" s="42"/>
      <c r="E1667" s="42"/>
      <c r="F1667" s="42"/>
    </row>
    <row r="1668" spans="1:6" x14ac:dyDescent="0.3">
      <c r="A1668" s="42"/>
      <c r="B1668" s="58"/>
      <c r="C1668" s="42"/>
      <c r="D1668" s="42"/>
      <c r="E1668" s="42"/>
      <c r="F1668" s="42"/>
    </row>
    <row r="1669" spans="1:6" x14ac:dyDescent="0.3">
      <c r="A1669" s="42"/>
      <c r="B1669" s="58"/>
      <c r="C1669" s="42"/>
      <c r="D1669" s="42"/>
      <c r="E1669" s="42"/>
      <c r="F1669" s="42"/>
    </row>
    <row r="1670" spans="1:6" x14ac:dyDescent="0.3">
      <c r="A1670" s="42"/>
      <c r="B1670" s="58"/>
      <c r="C1670" s="42"/>
      <c r="D1670" s="42"/>
      <c r="E1670" s="42"/>
      <c r="F1670" s="42"/>
    </row>
    <row r="1671" spans="1:6" x14ac:dyDescent="0.3">
      <c r="A1671" s="42"/>
      <c r="B1671" s="58"/>
      <c r="C1671" s="42"/>
      <c r="D1671" s="42"/>
      <c r="E1671" s="42"/>
      <c r="F1671" s="42"/>
    </row>
    <row r="1672" spans="1:6" x14ac:dyDescent="0.3">
      <c r="A1672" s="42"/>
      <c r="B1672" s="58"/>
      <c r="C1672" s="42"/>
      <c r="D1672" s="42"/>
      <c r="E1672" s="42"/>
      <c r="F1672" s="42"/>
    </row>
    <row r="1673" spans="1:6" x14ac:dyDescent="0.3">
      <c r="A1673" s="42"/>
      <c r="B1673" s="58"/>
      <c r="C1673" s="42"/>
      <c r="D1673" s="42"/>
      <c r="E1673" s="42"/>
      <c r="F1673" s="42"/>
    </row>
    <row r="1674" spans="1:6" x14ac:dyDescent="0.3">
      <c r="A1674" s="42"/>
      <c r="B1674" s="58"/>
      <c r="C1674" s="42"/>
      <c r="D1674" s="42"/>
      <c r="E1674" s="42"/>
      <c r="F1674" s="42"/>
    </row>
    <row r="1675" spans="1:6" x14ac:dyDescent="0.3">
      <c r="A1675" s="42"/>
      <c r="B1675" s="58"/>
      <c r="C1675" s="42"/>
      <c r="D1675" s="42"/>
      <c r="E1675" s="42"/>
      <c r="F1675" s="42"/>
    </row>
    <row r="1676" spans="1:6" x14ac:dyDescent="0.3">
      <c r="A1676" s="42"/>
      <c r="B1676" s="58"/>
      <c r="C1676" s="42"/>
      <c r="D1676" s="42"/>
      <c r="E1676" s="42"/>
      <c r="F1676" s="42"/>
    </row>
    <row r="1677" spans="1:6" x14ac:dyDescent="0.3">
      <c r="A1677" s="42"/>
      <c r="B1677" s="58"/>
      <c r="C1677" s="42"/>
      <c r="D1677" s="42"/>
      <c r="E1677" s="42"/>
      <c r="F1677" s="42"/>
    </row>
    <row r="1678" spans="1:6" x14ac:dyDescent="0.3">
      <c r="A1678" s="42"/>
      <c r="B1678" s="58"/>
      <c r="C1678" s="42"/>
      <c r="D1678" s="42"/>
      <c r="E1678" s="42"/>
      <c r="F1678" s="42"/>
    </row>
    <row r="1679" spans="1:6" x14ac:dyDescent="0.3">
      <c r="A1679" s="42"/>
      <c r="B1679" s="58"/>
      <c r="C1679" s="42"/>
      <c r="D1679" s="42"/>
      <c r="E1679" s="42"/>
      <c r="F1679" s="42"/>
    </row>
    <row r="1680" spans="1:6" x14ac:dyDescent="0.3">
      <c r="A1680" s="42"/>
      <c r="B1680" s="58"/>
      <c r="C1680" s="42"/>
      <c r="D1680" s="42"/>
      <c r="E1680" s="42"/>
      <c r="F1680" s="42"/>
    </row>
    <row r="1681" spans="1:6" x14ac:dyDescent="0.3">
      <c r="A1681" s="42"/>
      <c r="B1681" s="58"/>
      <c r="C1681" s="42"/>
      <c r="D1681" s="42"/>
      <c r="E1681" s="42"/>
      <c r="F1681" s="42"/>
    </row>
    <row r="1682" spans="1:6" x14ac:dyDescent="0.3">
      <c r="A1682" s="42"/>
      <c r="B1682" s="58"/>
      <c r="C1682" s="42"/>
      <c r="D1682" s="42"/>
      <c r="E1682" s="42"/>
      <c r="F1682" s="42"/>
    </row>
    <row r="1683" spans="1:6" x14ac:dyDescent="0.3">
      <c r="A1683" s="42"/>
      <c r="B1683" s="58"/>
      <c r="C1683" s="42"/>
      <c r="D1683" s="42"/>
      <c r="E1683" s="42"/>
      <c r="F1683" s="42"/>
    </row>
    <row r="1684" spans="1:6" x14ac:dyDescent="0.3">
      <c r="A1684" s="42"/>
      <c r="B1684" s="58"/>
      <c r="C1684" s="42"/>
      <c r="D1684" s="42"/>
      <c r="E1684" s="42"/>
      <c r="F1684" s="42"/>
    </row>
    <row r="1685" spans="1:6" x14ac:dyDescent="0.3">
      <c r="A1685" s="42"/>
      <c r="B1685" s="58"/>
      <c r="C1685" s="42"/>
      <c r="D1685" s="42"/>
      <c r="E1685" s="42"/>
      <c r="F1685" s="42"/>
    </row>
    <row r="1686" spans="1:6" x14ac:dyDescent="0.3">
      <c r="A1686" s="42"/>
      <c r="B1686" s="58"/>
      <c r="C1686" s="42"/>
      <c r="D1686" s="42"/>
      <c r="E1686" s="42"/>
      <c r="F1686" s="42"/>
    </row>
    <row r="1687" spans="1:6" x14ac:dyDescent="0.3">
      <c r="A1687" s="42"/>
      <c r="B1687" s="58"/>
      <c r="C1687" s="42"/>
      <c r="D1687" s="42"/>
      <c r="E1687" s="42"/>
      <c r="F1687" s="42"/>
    </row>
    <row r="1688" spans="1:6" x14ac:dyDescent="0.3">
      <c r="A1688" s="42"/>
      <c r="B1688" s="58"/>
      <c r="C1688" s="42"/>
      <c r="D1688" s="42"/>
      <c r="E1688" s="42"/>
      <c r="F1688" s="42"/>
    </row>
    <row r="1689" spans="1:6" x14ac:dyDescent="0.3">
      <c r="A1689" s="42"/>
      <c r="B1689" s="58"/>
      <c r="C1689" s="42"/>
      <c r="D1689" s="42"/>
      <c r="E1689" s="42"/>
      <c r="F1689" s="42"/>
    </row>
    <row r="1690" spans="1:6" x14ac:dyDescent="0.3">
      <c r="A1690" s="42"/>
      <c r="B1690" s="58"/>
      <c r="C1690" s="42"/>
      <c r="D1690" s="42"/>
      <c r="E1690" s="42"/>
      <c r="F1690" s="42"/>
    </row>
    <row r="1691" spans="1:6" x14ac:dyDescent="0.3">
      <c r="A1691" s="42"/>
      <c r="B1691" s="58"/>
      <c r="C1691" s="42"/>
      <c r="D1691" s="42"/>
      <c r="E1691" s="42"/>
      <c r="F1691" s="42"/>
    </row>
    <row r="1692" spans="1:6" x14ac:dyDescent="0.3">
      <c r="A1692" s="42"/>
      <c r="B1692" s="58"/>
      <c r="C1692" s="42"/>
      <c r="D1692" s="42"/>
      <c r="E1692" s="42"/>
      <c r="F1692" s="42"/>
    </row>
    <row r="1693" spans="1:6" x14ac:dyDescent="0.3">
      <c r="A1693" s="42"/>
      <c r="B1693" s="58"/>
      <c r="C1693" s="42"/>
      <c r="D1693" s="42"/>
      <c r="E1693" s="42"/>
      <c r="F1693" s="42"/>
    </row>
    <row r="1694" spans="1:6" x14ac:dyDescent="0.3">
      <c r="A1694" s="42"/>
      <c r="B1694" s="58"/>
      <c r="C1694" s="42"/>
      <c r="D1694" s="42"/>
      <c r="E1694" s="42"/>
      <c r="F1694" s="42"/>
    </row>
    <row r="1695" spans="1:6" x14ac:dyDescent="0.3">
      <c r="A1695" s="42"/>
      <c r="B1695" s="58"/>
      <c r="C1695" s="42"/>
      <c r="D1695" s="42"/>
      <c r="E1695" s="42"/>
      <c r="F1695" s="42"/>
    </row>
    <row r="1696" spans="1:6" x14ac:dyDescent="0.3">
      <c r="A1696" s="42"/>
      <c r="B1696" s="58"/>
      <c r="C1696" s="42"/>
      <c r="D1696" s="42"/>
      <c r="E1696" s="42"/>
      <c r="F1696" s="42"/>
    </row>
    <row r="1697" spans="1:6" x14ac:dyDescent="0.3">
      <c r="A1697" s="42"/>
      <c r="B1697" s="58"/>
      <c r="C1697" s="42"/>
      <c r="D1697" s="42"/>
      <c r="E1697" s="42"/>
      <c r="F1697" s="42"/>
    </row>
    <row r="1698" spans="1:6" x14ac:dyDescent="0.3">
      <c r="A1698" s="42"/>
      <c r="B1698" s="58"/>
      <c r="C1698" s="42"/>
      <c r="D1698" s="42"/>
      <c r="E1698" s="42"/>
      <c r="F1698" s="42"/>
    </row>
    <row r="1699" spans="1:6" x14ac:dyDescent="0.3">
      <c r="A1699" s="42"/>
      <c r="B1699" s="58"/>
      <c r="C1699" s="42"/>
      <c r="D1699" s="42"/>
      <c r="E1699" s="42"/>
      <c r="F1699" s="42"/>
    </row>
    <row r="1700" spans="1:6" x14ac:dyDescent="0.3">
      <c r="A1700" s="42"/>
      <c r="B1700" s="58"/>
      <c r="C1700" s="42"/>
      <c r="D1700" s="42"/>
      <c r="E1700" s="42"/>
      <c r="F1700" s="42"/>
    </row>
    <row r="1701" spans="1:6" x14ac:dyDescent="0.3">
      <c r="A1701" s="42"/>
      <c r="B1701" s="58"/>
      <c r="C1701" s="42"/>
      <c r="D1701" s="42"/>
      <c r="E1701" s="42"/>
      <c r="F1701" s="42"/>
    </row>
    <row r="1702" spans="1:6" x14ac:dyDescent="0.3">
      <c r="A1702" s="42"/>
      <c r="B1702" s="58"/>
      <c r="C1702" s="42"/>
      <c r="D1702" s="42"/>
      <c r="E1702" s="42"/>
      <c r="F1702" s="42"/>
    </row>
    <row r="1703" spans="1:6" x14ac:dyDescent="0.3">
      <c r="A1703" s="42"/>
      <c r="B1703" s="58"/>
      <c r="C1703" s="42"/>
      <c r="D1703" s="42"/>
      <c r="E1703" s="42"/>
      <c r="F1703" s="42"/>
    </row>
    <row r="1704" spans="1:6" x14ac:dyDescent="0.3">
      <c r="A1704" s="42"/>
      <c r="B1704" s="58"/>
      <c r="C1704" s="42"/>
      <c r="D1704" s="42"/>
      <c r="E1704" s="42"/>
      <c r="F1704" s="42"/>
    </row>
    <row r="1705" spans="1:6" x14ac:dyDescent="0.3">
      <c r="A1705" s="42"/>
      <c r="B1705" s="58"/>
      <c r="C1705" s="42"/>
      <c r="D1705" s="42"/>
      <c r="E1705" s="42"/>
      <c r="F1705" s="42"/>
    </row>
    <row r="1706" spans="1:6" x14ac:dyDescent="0.3">
      <c r="A1706" s="42"/>
      <c r="B1706" s="58"/>
      <c r="C1706" s="42"/>
      <c r="D1706" s="42"/>
      <c r="E1706" s="42"/>
      <c r="F1706" s="42"/>
    </row>
    <row r="1707" spans="1:6" x14ac:dyDescent="0.3">
      <c r="A1707" s="42"/>
      <c r="B1707" s="58"/>
      <c r="C1707" s="42"/>
      <c r="D1707" s="42"/>
      <c r="E1707" s="42"/>
      <c r="F1707" s="42"/>
    </row>
    <row r="1708" spans="1:6" x14ac:dyDescent="0.3">
      <c r="A1708" s="42"/>
      <c r="B1708" s="58"/>
      <c r="C1708" s="42"/>
      <c r="D1708" s="42"/>
      <c r="E1708" s="42"/>
      <c r="F1708" s="42"/>
    </row>
    <row r="1709" spans="1:6" x14ac:dyDescent="0.3">
      <c r="A1709" s="42"/>
      <c r="B1709" s="58"/>
      <c r="C1709" s="42"/>
      <c r="D1709" s="42"/>
      <c r="E1709" s="42"/>
      <c r="F1709" s="42"/>
    </row>
    <row r="1710" spans="1:6" x14ac:dyDescent="0.3">
      <c r="A1710" s="42"/>
      <c r="B1710" s="58"/>
      <c r="C1710" s="42"/>
      <c r="D1710" s="42"/>
      <c r="E1710" s="42"/>
      <c r="F1710" s="42"/>
    </row>
    <row r="1711" spans="1:6" x14ac:dyDescent="0.3">
      <c r="A1711" s="42"/>
      <c r="B1711" s="58"/>
      <c r="C1711" s="42"/>
      <c r="D1711" s="42"/>
      <c r="E1711" s="42"/>
      <c r="F1711" s="42"/>
    </row>
    <row r="1712" spans="1:6" x14ac:dyDescent="0.3">
      <c r="A1712" s="42"/>
      <c r="B1712" s="58"/>
      <c r="C1712" s="42"/>
      <c r="D1712" s="42"/>
      <c r="E1712" s="42"/>
      <c r="F1712" s="42"/>
    </row>
    <row r="1713" spans="1:6" x14ac:dyDescent="0.3">
      <c r="A1713" s="42"/>
      <c r="B1713" s="58"/>
      <c r="C1713" s="42"/>
      <c r="D1713" s="42"/>
      <c r="E1713" s="42"/>
      <c r="F1713" s="42"/>
    </row>
    <row r="1714" spans="1:6" x14ac:dyDescent="0.3">
      <c r="A1714" s="42"/>
      <c r="B1714" s="58"/>
      <c r="C1714" s="42"/>
      <c r="D1714" s="42"/>
      <c r="E1714" s="42"/>
      <c r="F1714" s="42"/>
    </row>
    <row r="1715" spans="1:6" x14ac:dyDescent="0.3">
      <c r="A1715" s="42"/>
      <c r="B1715" s="58"/>
      <c r="C1715" s="42"/>
      <c r="D1715" s="42"/>
      <c r="E1715" s="42"/>
      <c r="F1715" s="42"/>
    </row>
    <row r="1716" spans="1:6" x14ac:dyDescent="0.3">
      <c r="A1716" s="42"/>
      <c r="B1716" s="58"/>
      <c r="C1716" s="42"/>
      <c r="D1716" s="42"/>
      <c r="E1716" s="42"/>
      <c r="F1716" s="42"/>
    </row>
    <row r="1717" spans="1:6" x14ac:dyDescent="0.3">
      <c r="A1717" s="42"/>
      <c r="B1717" s="58"/>
      <c r="C1717" s="42"/>
      <c r="D1717" s="42"/>
      <c r="E1717" s="42"/>
      <c r="F1717" s="42"/>
    </row>
    <row r="1718" spans="1:6" x14ac:dyDescent="0.3">
      <c r="A1718" s="42"/>
      <c r="B1718" s="58"/>
      <c r="C1718" s="42"/>
      <c r="D1718" s="42"/>
      <c r="E1718" s="42"/>
      <c r="F1718" s="42"/>
    </row>
    <row r="1719" spans="1:6" x14ac:dyDescent="0.3">
      <c r="A1719" s="42"/>
      <c r="B1719" s="58"/>
      <c r="C1719" s="42"/>
      <c r="D1719" s="42"/>
      <c r="E1719" s="42"/>
      <c r="F1719" s="42"/>
    </row>
    <row r="1720" spans="1:6" x14ac:dyDescent="0.3">
      <c r="A1720" s="42"/>
      <c r="B1720" s="58"/>
      <c r="C1720" s="42"/>
      <c r="D1720" s="42"/>
      <c r="E1720" s="42"/>
      <c r="F1720" s="42"/>
    </row>
    <row r="1721" spans="1:6" x14ac:dyDescent="0.3">
      <c r="A1721" s="42"/>
      <c r="B1721" s="58"/>
      <c r="C1721" s="42"/>
      <c r="D1721" s="42"/>
      <c r="E1721" s="42"/>
      <c r="F1721" s="42"/>
    </row>
    <row r="1722" spans="1:6" x14ac:dyDescent="0.3">
      <c r="A1722" s="42"/>
      <c r="B1722" s="58"/>
      <c r="C1722" s="42"/>
      <c r="D1722" s="42"/>
      <c r="E1722" s="42"/>
      <c r="F1722" s="42"/>
    </row>
    <row r="1723" spans="1:6" x14ac:dyDescent="0.3">
      <c r="A1723" s="42"/>
      <c r="B1723" s="58"/>
      <c r="C1723" s="42"/>
      <c r="D1723" s="42"/>
      <c r="E1723" s="42"/>
      <c r="F1723" s="42"/>
    </row>
    <row r="1724" spans="1:6" x14ac:dyDescent="0.3">
      <c r="A1724" s="42"/>
      <c r="B1724" s="58"/>
      <c r="C1724" s="42"/>
      <c r="D1724" s="42"/>
      <c r="E1724" s="42"/>
      <c r="F1724" s="42"/>
    </row>
    <row r="1725" spans="1:6" x14ac:dyDescent="0.3">
      <c r="A1725" s="42"/>
      <c r="B1725" s="58"/>
      <c r="C1725" s="42"/>
      <c r="D1725" s="42"/>
      <c r="E1725" s="42"/>
      <c r="F1725" s="42"/>
    </row>
    <row r="1726" spans="1:6" x14ac:dyDescent="0.3">
      <c r="A1726" s="42"/>
      <c r="B1726" s="58"/>
      <c r="C1726" s="42"/>
      <c r="D1726" s="42"/>
      <c r="E1726" s="42"/>
      <c r="F1726" s="42"/>
    </row>
    <row r="1727" spans="1:6" x14ac:dyDescent="0.3">
      <c r="A1727" s="42"/>
      <c r="B1727" s="58"/>
      <c r="C1727" s="42"/>
      <c r="D1727" s="42"/>
      <c r="E1727" s="42"/>
      <c r="F1727" s="42"/>
    </row>
    <row r="1728" spans="1:6" x14ac:dyDescent="0.3">
      <c r="A1728" s="42"/>
      <c r="B1728" s="58"/>
      <c r="C1728" s="42"/>
      <c r="D1728" s="42"/>
      <c r="E1728" s="42"/>
      <c r="F1728" s="42"/>
    </row>
    <row r="1729" spans="1:6" x14ac:dyDescent="0.3">
      <c r="A1729" s="42"/>
      <c r="B1729" s="58"/>
      <c r="C1729" s="42"/>
      <c r="D1729" s="42"/>
      <c r="E1729" s="42"/>
      <c r="F1729" s="42"/>
    </row>
    <row r="1730" spans="1:6" x14ac:dyDescent="0.3">
      <c r="A1730" s="42"/>
      <c r="B1730" s="58"/>
      <c r="C1730" s="42"/>
      <c r="D1730" s="42"/>
      <c r="E1730" s="42"/>
      <c r="F1730" s="42"/>
    </row>
    <row r="1731" spans="1:6" x14ac:dyDescent="0.3">
      <c r="A1731" s="42"/>
      <c r="B1731" s="58"/>
      <c r="C1731" s="42"/>
      <c r="D1731" s="42"/>
      <c r="E1731" s="42"/>
      <c r="F1731" s="42"/>
    </row>
    <row r="1732" spans="1:6" x14ac:dyDescent="0.3">
      <c r="A1732" s="42"/>
      <c r="B1732" s="58"/>
      <c r="C1732" s="42"/>
      <c r="D1732" s="42"/>
      <c r="E1732" s="42"/>
      <c r="F1732" s="42"/>
    </row>
    <row r="1733" spans="1:6" x14ac:dyDescent="0.3">
      <c r="A1733" s="42"/>
      <c r="B1733" s="58"/>
      <c r="C1733" s="42"/>
      <c r="D1733" s="42"/>
      <c r="E1733" s="42"/>
      <c r="F1733" s="42"/>
    </row>
    <row r="1734" spans="1:6" x14ac:dyDescent="0.3">
      <c r="A1734" s="42"/>
      <c r="B1734" s="58"/>
      <c r="C1734" s="42"/>
      <c r="D1734" s="42"/>
      <c r="E1734" s="42"/>
      <c r="F1734" s="42"/>
    </row>
    <row r="1735" spans="1:6" x14ac:dyDescent="0.3">
      <c r="A1735" s="42"/>
      <c r="B1735" s="58"/>
      <c r="C1735" s="42"/>
      <c r="D1735" s="42"/>
      <c r="E1735" s="42"/>
      <c r="F1735" s="42"/>
    </row>
    <row r="1736" spans="1:6" x14ac:dyDescent="0.3">
      <c r="A1736" s="42"/>
      <c r="B1736" s="58"/>
      <c r="C1736" s="42"/>
      <c r="D1736" s="42"/>
      <c r="E1736" s="42"/>
      <c r="F1736" s="42"/>
    </row>
    <row r="1737" spans="1:6" x14ac:dyDescent="0.3">
      <c r="A1737" s="42"/>
      <c r="B1737" s="58"/>
      <c r="C1737" s="42"/>
      <c r="D1737" s="42"/>
      <c r="E1737" s="42"/>
      <c r="F1737" s="42"/>
    </row>
    <row r="1738" spans="1:6" x14ac:dyDescent="0.3">
      <c r="A1738" s="42"/>
      <c r="B1738" s="58"/>
      <c r="C1738" s="42"/>
      <c r="D1738" s="42"/>
      <c r="E1738" s="42"/>
      <c r="F1738" s="42"/>
    </row>
    <row r="1739" spans="1:6" x14ac:dyDescent="0.3">
      <c r="A1739" s="42"/>
      <c r="B1739" s="58"/>
      <c r="C1739" s="42"/>
      <c r="D1739" s="42"/>
      <c r="E1739" s="42"/>
      <c r="F1739" s="42"/>
    </row>
    <row r="1740" spans="1:6" x14ac:dyDescent="0.3">
      <c r="A1740" s="42"/>
      <c r="B1740" s="58"/>
      <c r="C1740" s="42"/>
      <c r="D1740" s="42"/>
      <c r="E1740" s="42"/>
      <c r="F1740" s="42"/>
    </row>
    <row r="1741" spans="1:6" x14ac:dyDescent="0.3">
      <c r="A1741" s="42"/>
      <c r="B1741" s="58"/>
      <c r="C1741" s="42"/>
      <c r="D1741" s="42"/>
      <c r="E1741" s="42"/>
      <c r="F1741" s="42"/>
    </row>
    <row r="1742" spans="1:6" x14ac:dyDescent="0.3">
      <c r="A1742" s="42"/>
      <c r="B1742" s="58"/>
      <c r="C1742" s="42"/>
      <c r="D1742" s="42"/>
      <c r="E1742" s="42"/>
      <c r="F1742" s="42"/>
    </row>
    <row r="1743" spans="1:6" x14ac:dyDescent="0.3">
      <c r="A1743" s="42"/>
      <c r="B1743" s="58"/>
      <c r="C1743" s="42"/>
      <c r="D1743" s="42"/>
      <c r="E1743" s="42"/>
      <c r="F1743" s="42"/>
    </row>
    <row r="1744" spans="1:6" x14ac:dyDescent="0.3">
      <c r="A1744" s="42"/>
      <c r="B1744" s="58"/>
      <c r="C1744" s="42"/>
      <c r="D1744" s="42"/>
      <c r="E1744" s="42"/>
      <c r="F1744" s="42"/>
    </row>
    <row r="1745" spans="1:6" x14ac:dyDescent="0.3">
      <c r="A1745" s="42"/>
      <c r="B1745" s="58"/>
      <c r="C1745" s="42"/>
      <c r="D1745" s="42"/>
      <c r="E1745" s="42"/>
      <c r="F1745" s="42"/>
    </row>
    <row r="1746" spans="1:6" x14ac:dyDescent="0.3">
      <c r="A1746" s="42"/>
      <c r="B1746" s="58"/>
      <c r="C1746" s="42"/>
      <c r="D1746" s="42"/>
      <c r="E1746" s="42"/>
      <c r="F1746" s="42"/>
    </row>
    <row r="1747" spans="1:6" x14ac:dyDescent="0.3">
      <c r="A1747" s="42"/>
      <c r="B1747" s="58"/>
      <c r="C1747" s="42"/>
      <c r="D1747" s="42"/>
      <c r="E1747" s="42"/>
      <c r="F1747" s="42"/>
    </row>
    <row r="1748" spans="1:6" x14ac:dyDescent="0.3">
      <c r="A1748" s="42"/>
      <c r="B1748" s="58"/>
      <c r="C1748" s="42"/>
      <c r="D1748" s="42"/>
      <c r="E1748" s="42"/>
      <c r="F1748" s="42"/>
    </row>
    <row r="1749" spans="1:6" x14ac:dyDescent="0.3">
      <c r="A1749" s="42"/>
      <c r="B1749" s="58"/>
      <c r="C1749" s="42"/>
      <c r="D1749" s="42"/>
      <c r="E1749" s="42"/>
      <c r="F1749" s="42"/>
    </row>
    <row r="1750" spans="1:6" x14ac:dyDescent="0.3">
      <c r="A1750" s="42"/>
      <c r="B1750" s="58"/>
      <c r="C1750" s="42"/>
      <c r="D1750" s="42"/>
      <c r="E1750" s="42"/>
      <c r="F1750" s="42"/>
    </row>
    <row r="1751" spans="1:6" x14ac:dyDescent="0.3">
      <c r="A1751" s="42"/>
      <c r="B1751" s="58"/>
      <c r="C1751" s="42"/>
      <c r="D1751" s="42"/>
      <c r="E1751" s="42"/>
      <c r="F1751" s="42"/>
    </row>
    <row r="1752" spans="1:6" x14ac:dyDescent="0.3">
      <c r="A1752" s="42"/>
      <c r="B1752" s="58"/>
      <c r="C1752" s="42"/>
      <c r="D1752" s="42"/>
      <c r="E1752" s="42"/>
      <c r="F1752" s="42"/>
    </row>
    <row r="1753" spans="1:6" x14ac:dyDescent="0.3">
      <c r="A1753" s="42"/>
      <c r="B1753" s="58"/>
      <c r="C1753" s="42"/>
      <c r="D1753" s="42"/>
      <c r="E1753" s="42"/>
      <c r="F1753" s="42"/>
    </row>
    <row r="1754" spans="1:6" x14ac:dyDescent="0.3">
      <c r="A1754" s="42"/>
      <c r="B1754" s="58"/>
      <c r="C1754" s="42"/>
      <c r="D1754" s="42"/>
      <c r="E1754" s="42"/>
      <c r="F1754" s="42"/>
    </row>
    <row r="1755" spans="1:6" x14ac:dyDescent="0.3">
      <c r="A1755" s="42"/>
      <c r="B1755" s="58"/>
      <c r="C1755" s="42"/>
      <c r="D1755" s="42"/>
      <c r="E1755" s="42"/>
      <c r="F1755" s="42"/>
    </row>
    <row r="1756" spans="1:6" x14ac:dyDescent="0.3">
      <c r="A1756" s="42"/>
      <c r="B1756" s="58"/>
      <c r="C1756" s="42"/>
      <c r="D1756" s="42"/>
      <c r="E1756" s="42"/>
      <c r="F1756" s="42"/>
    </row>
    <row r="1757" spans="1:6" x14ac:dyDescent="0.3">
      <c r="A1757" s="42"/>
      <c r="B1757" s="58"/>
      <c r="C1757" s="42"/>
      <c r="D1757" s="42"/>
      <c r="E1757" s="42"/>
      <c r="F1757" s="42"/>
    </row>
    <row r="1758" spans="1:6" x14ac:dyDescent="0.3">
      <c r="A1758" s="42"/>
      <c r="B1758" s="58"/>
      <c r="C1758" s="42"/>
      <c r="D1758" s="42"/>
      <c r="E1758" s="42"/>
      <c r="F1758" s="42"/>
    </row>
    <row r="1759" spans="1:6" x14ac:dyDescent="0.3">
      <c r="A1759" s="42"/>
      <c r="B1759" s="58"/>
      <c r="C1759" s="42"/>
      <c r="D1759" s="42"/>
      <c r="E1759" s="42"/>
      <c r="F1759" s="42"/>
    </row>
    <row r="1760" spans="1:6" x14ac:dyDescent="0.3">
      <c r="A1760" s="42"/>
      <c r="B1760" s="58"/>
      <c r="C1760" s="42"/>
      <c r="D1760" s="42"/>
      <c r="E1760" s="42"/>
      <c r="F1760" s="42"/>
    </row>
    <row r="1761" spans="1:6" x14ac:dyDescent="0.3">
      <c r="A1761" s="42"/>
      <c r="B1761" s="58"/>
      <c r="C1761" s="42"/>
      <c r="D1761" s="42"/>
      <c r="E1761" s="42"/>
      <c r="F1761" s="42"/>
    </row>
    <row r="1762" spans="1:6" x14ac:dyDescent="0.3">
      <c r="A1762" s="42"/>
      <c r="B1762" s="58"/>
      <c r="C1762" s="42"/>
      <c r="D1762" s="42"/>
      <c r="E1762" s="42"/>
      <c r="F1762" s="42"/>
    </row>
    <row r="1763" spans="1:6" x14ac:dyDescent="0.3">
      <c r="A1763" s="42"/>
      <c r="B1763" s="58"/>
      <c r="C1763" s="42"/>
      <c r="D1763" s="42"/>
      <c r="E1763" s="42"/>
      <c r="F1763" s="42"/>
    </row>
    <row r="1764" spans="1:6" x14ac:dyDescent="0.3">
      <c r="A1764" s="42"/>
      <c r="B1764" s="58"/>
      <c r="C1764" s="42"/>
      <c r="D1764" s="42"/>
      <c r="E1764" s="42"/>
      <c r="F1764" s="42"/>
    </row>
    <row r="1765" spans="1:6" x14ac:dyDescent="0.3">
      <c r="A1765" s="42"/>
      <c r="B1765" s="58"/>
      <c r="C1765" s="42"/>
      <c r="D1765" s="42"/>
      <c r="E1765" s="42"/>
      <c r="F1765" s="42"/>
    </row>
    <row r="1766" spans="1:6" x14ac:dyDescent="0.3">
      <c r="A1766" s="42"/>
      <c r="B1766" s="58"/>
      <c r="C1766" s="42"/>
      <c r="D1766" s="42"/>
      <c r="E1766" s="42"/>
      <c r="F1766" s="42"/>
    </row>
    <row r="1767" spans="1:6" x14ac:dyDescent="0.3">
      <c r="A1767" s="42"/>
      <c r="B1767" s="58"/>
      <c r="C1767" s="42"/>
      <c r="D1767" s="42"/>
      <c r="E1767" s="42"/>
      <c r="F1767" s="42"/>
    </row>
    <row r="1768" spans="1:6" x14ac:dyDescent="0.3">
      <c r="A1768" s="42"/>
      <c r="B1768" s="58"/>
      <c r="C1768" s="42"/>
      <c r="D1768" s="42"/>
      <c r="E1768" s="42"/>
      <c r="F1768" s="42"/>
    </row>
    <row r="1769" spans="1:6" x14ac:dyDescent="0.3">
      <c r="A1769" s="42"/>
      <c r="B1769" s="58"/>
      <c r="C1769" s="42"/>
      <c r="D1769" s="42"/>
      <c r="E1769" s="42"/>
      <c r="F1769" s="42"/>
    </row>
    <row r="1770" spans="1:6" x14ac:dyDescent="0.3">
      <c r="A1770" s="42"/>
      <c r="B1770" s="58"/>
      <c r="C1770" s="42"/>
      <c r="D1770" s="42"/>
      <c r="E1770" s="42"/>
      <c r="F1770" s="42"/>
    </row>
    <row r="1771" spans="1:6" x14ac:dyDescent="0.3">
      <c r="A1771" s="42"/>
      <c r="B1771" s="58"/>
      <c r="C1771" s="42"/>
      <c r="D1771" s="42"/>
      <c r="E1771" s="42"/>
      <c r="F1771" s="42"/>
    </row>
    <row r="1772" spans="1:6" x14ac:dyDescent="0.3">
      <c r="A1772" s="42"/>
      <c r="B1772" s="58"/>
      <c r="C1772" s="42"/>
      <c r="D1772" s="42"/>
      <c r="E1772" s="42"/>
      <c r="F1772" s="42"/>
    </row>
    <row r="1773" spans="1:6" x14ac:dyDescent="0.3">
      <c r="A1773" s="42"/>
      <c r="B1773" s="58"/>
      <c r="C1773" s="42"/>
      <c r="D1773" s="42"/>
      <c r="E1773" s="42"/>
      <c r="F1773" s="42"/>
    </row>
    <row r="1774" spans="1:6" x14ac:dyDescent="0.3">
      <c r="A1774" s="42"/>
      <c r="B1774" s="58"/>
      <c r="C1774" s="42"/>
      <c r="D1774" s="42"/>
      <c r="E1774" s="42"/>
      <c r="F1774" s="42"/>
    </row>
    <row r="1775" spans="1:6" x14ac:dyDescent="0.3">
      <c r="A1775" s="42"/>
      <c r="B1775" s="58"/>
      <c r="C1775" s="42"/>
      <c r="D1775" s="42"/>
      <c r="E1775" s="42"/>
      <c r="F1775" s="42"/>
    </row>
    <row r="1776" spans="1:6" x14ac:dyDescent="0.3">
      <c r="A1776" s="42"/>
      <c r="B1776" s="58"/>
      <c r="C1776" s="42"/>
      <c r="D1776" s="42"/>
      <c r="E1776" s="42"/>
      <c r="F1776" s="42"/>
    </row>
    <row r="1777" spans="1:6" x14ac:dyDescent="0.3">
      <c r="A1777" s="42"/>
      <c r="B1777" s="58"/>
      <c r="C1777" s="42"/>
      <c r="D1777" s="42"/>
      <c r="E1777" s="42"/>
      <c r="F1777" s="42"/>
    </row>
    <row r="1778" spans="1:6" x14ac:dyDescent="0.3">
      <c r="A1778" s="42"/>
      <c r="B1778" s="58"/>
      <c r="C1778" s="42"/>
      <c r="D1778" s="42"/>
      <c r="E1778" s="42"/>
      <c r="F1778" s="42"/>
    </row>
    <row r="1779" spans="1:6" x14ac:dyDescent="0.3">
      <c r="A1779" s="42"/>
      <c r="B1779" s="58"/>
      <c r="C1779" s="42"/>
      <c r="D1779" s="42"/>
      <c r="E1779" s="42"/>
      <c r="F1779" s="42"/>
    </row>
    <row r="1780" spans="1:6" x14ac:dyDescent="0.3">
      <c r="A1780" s="42"/>
      <c r="B1780" s="58"/>
      <c r="C1780" s="42"/>
      <c r="D1780" s="42"/>
      <c r="E1780" s="42"/>
      <c r="F1780" s="42"/>
    </row>
    <row r="1781" spans="1:6" x14ac:dyDescent="0.3">
      <c r="A1781" s="42"/>
      <c r="B1781" s="58"/>
      <c r="C1781" s="42"/>
      <c r="D1781" s="42"/>
      <c r="E1781" s="42"/>
      <c r="F1781" s="42"/>
    </row>
    <row r="1782" spans="1:6" x14ac:dyDescent="0.3">
      <c r="A1782" s="42"/>
      <c r="B1782" s="58"/>
      <c r="C1782" s="42"/>
      <c r="D1782" s="42"/>
      <c r="E1782" s="42"/>
      <c r="F1782" s="42"/>
    </row>
    <row r="1783" spans="1:6" x14ac:dyDescent="0.3">
      <c r="A1783" s="42"/>
      <c r="B1783" s="58"/>
      <c r="C1783" s="42"/>
      <c r="D1783" s="42"/>
      <c r="E1783" s="42"/>
      <c r="F1783" s="42"/>
    </row>
    <row r="1784" spans="1:6" x14ac:dyDescent="0.3">
      <c r="A1784" s="42"/>
      <c r="B1784" s="58"/>
      <c r="C1784" s="42"/>
      <c r="D1784" s="42"/>
      <c r="E1784" s="42"/>
      <c r="F1784" s="42"/>
    </row>
    <row r="1785" spans="1:6" x14ac:dyDescent="0.3">
      <c r="A1785" s="42"/>
      <c r="B1785" s="58"/>
      <c r="C1785" s="42"/>
      <c r="D1785" s="42"/>
      <c r="E1785" s="42"/>
      <c r="F1785" s="42"/>
    </row>
    <row r="1786" spans="1:6" x14ac:dyDescent="0.3">
      <c r="A1786" s="42"/>
      <c r="B1786" s="58"/>
      <c r="C1786" s="42"/>
      <c r="D1786" s="42"/>
      <c r="E1786" s="42"/>
      <c r="F1786" s="42"/>
    </row>
    <row r="1787" spans="1:6" x14ac:dyDescent="0.3">
      <c r="A1787" s="42"/>
      <c r="B1787" s="58"/>
      <c r="C1787" s="42"/>
      <c r="D1787" s="42"/>
      <c r="E1787" s="42"/>
      <c r="F1787" s="42"/>
    </row>
    <row r="1788" spans="1:6" x14ac:dyDescent="0.3">
      <c r="A1788" s="42"/>
      <c r="B1788" s="58"/>
      <c r="C1788" s="42"/>
      <c r="D1788" s="42"/>
      <c r="E1788" s="42"/>
      <c r="F1788" s="42"/>
    </row>
    <row r="1789" spans="1:6" x14ac:dyDescent="0.3">
      <c r="A1789" s="42"/>
      <c r="B1789" s="58"/>
      <c r="C1789" s="42"/>
      <c r="D1789" s="42"/>
      <c r="E1789" s="42"/>
      <c r="F1789" s="42"/>
    </row>
    <row r="1790" spans="1:6" x14ac:dyDescent="0.3">
      <c r="A1790" s="42"/>
      <c r="B1790" s="58"/>
      <c r="C1790" s="42"/>
      <c r="D1790" s="42"/>
      <c r="E1790" s="42"/>
      <c r="F1790" s="42"/>
    </row>
    <row r="1791" spans="1:6" x14ac:dyDescent="0.3">
      <c r="A1791" s="42"/>
      <c r="B1791" s="58"/>
      <c r="C1791" s="42"/>
      <c r="D1791" s="42"/>
      <c r="E1791" s="42"/>
      <c r="F1791" s="42"/>
    </row>
    <row r="1792" spans="1:6" x14ac:dyDescent="0.3">
      <c r="A1792" s="42"/>
      <c r="B1792" s="58"/>
      <c r="C1792" s="42"/>
      <c r="D1792" s="42"/>
      <c r="E1792" s="42"/>
      <c r="F1792" s="42"/>
    </row>
    <row r="1793" spans="1:6" x14ac:dyDescent="0.3">
      <c r="A1793" s="42"/>
      <c r="B1793" s="58"/>
      <c r="C1793" s="42"/>
      <c r="D1793" s="42"/>
      <c r="E1793" s="42"/>
      <c r="F1793" s="42"/>
    </row>
    <row r="1794" spans="1:6" x14ac:dyDescent="0.3">
      <c r="A1794" s="42"/>
      <c r="B1794" s="58"/>
      <c r="C1794" s="42"/>
      <c r="D1794" s="42"/>
      <c r="E1794" s="42"/>
      <c r="F1794" s="42"/>
    </row>
    <row r="1795" spans="1:6" x14ac:dyDescent="0.3">
      <c r="A1795" s="42"/>
      <c r="B1795" s="58"/>
      <c r="C1795" s="42"/>
      <c r="D1795" s="42"/>
      <c r="E1795" s="42"/>
      <c r="F1795" s="42"/>
    </row>
    <row r="1796" spans="1:6" x14ac:dyDescent="0.3">
      <c r="A1796" s="42"/>
      <c r="B1796" s="58"/>
      <c r="C1796" s="42"/>
      <c r="D1796" s="42"/>
      <c r="E1796" s="42"/>
      <c r="F1796" s="42"/>
    </row>
    <row r="1797" spans="1:6" x14ac:dyDescent="0.3">
      <c r="A1797" s="42"/>
      <c r="B1797" s="58"/>
      <c r="C1797" s="42"/>
      <c r="D1797" s="42"/>
      <c r="E1797" s="42"/>
      <c r="F1797" s="42"/>
    </row>
    <row r="1798" spans="1:6" x14ac:dyDescent="0.3">
      <c r="A1798" s="42"/>
      <c r="B1798" s="58"/>
      <c r="C1798" s="42"/>
      <c r="D1798" s="42"/>
      <c r="E1798" s="42"/>
      <c r="F1798" s="42"/>
    </row>
    <row r="1799" spans="1:6" x14ac:dyDescent="0.3">
      <c r="A1799" s="42"/>
      <c r="B1799" s="58"/>
      <c r="C1799" s="42"/>
      <c r="D1799" s="42"/>
      <c r="E1799" s="42"/>
      <c r="F1799" s="42"/>
    </row>
    <row r="1800" spans="1:6" x14ac:dyDescent="0.3">
      <c r="A1800" s="42"/>
      <c r="B1800" s="58"/>
      <c r="C1800" s="42"/>
      <c r="D1800" s="42"/>
      <c r="E1800" s="42"/>
      <c r="F1800" s="42"/>
    </row>
    <row r="1801" spans="1:6" x14ac:dyDescent="0.3">
      <c r="A1801" s="42"/>
      <c r="B1801" s="58"/>
      <c r="C1801" s="42"/>
      <c r="D1801" s="42"/>
      <c r="E1801" s="42"/>
      <c r="F1801" s="42"/>
    </row>
    <row r="1802" spans="1:6" x14ac:dyDescent="0.3">
      <c r="A1802" s="42"/>
      <c r="B1802" s="58"/>
      <c r="C1802" s="42"/>
      <c r="D1802" s="42"/>
      <c r="E1802" s="42"/>
      <c r="F1802" s="42"/>
    </row>
    <row r="1803" spans="1:6" x14ac:dyDescent="0.3">
      <c r="A1803" s="42"/>
      <c r="B1803" s="58"/>
      <c r="C1803" s="42"/>
      <c r="D1803" s="42"/>
      <c r="E1803" s="42"/>
      <c r="F1803" s="42"/>
    </row>
    <row r="1804" spans="1:6" x14ac:dyDescent="0.3">
      <c r="A1804" s="42"/>
      <c r="B1804" s="58"/>
      <c r="C1804" s="42"/>
      <c r="D1804" s="42"/>
      <c r="E1804" s="42"/>
      <c r="F1804" s="42"/>
    </row>
    <row r="1805" spans="1:6" x14ac:dyDescent="0.3">
      <c r="A1805" s="42"/>
      <c r="B1805" s="58"/>
      <c r="C1805" s="42"/>
      <c r="D1805" s="42"/>
      <c r="E1805" s="42"/>
      <c r="F1805" s="42"/>
    </row>
    <row r="1806" spans="1:6" x14ac:dyDescent="0.3">
      <c r="A1806" s="42"/>
      <c r="B1806" s="58"/>
      <c r="C1806" s="42"/>
      <c r="D1806" s="42"/>
      <c r="E1806" s="42"/>
      <c r="F1806" s="42"/>
    </row>
    <row r="1807" spans="1:6" x14ac:dyDescent="0.3">
      <c r="A1807" s="42"/>
      <c r="B1807" s="58"/>
      <c r="C1807" s="42"/>
      <c r="D1807" s="42"/>
      <c r="E1807" s="42"/>
      <c r="F1807" s="42"/>
    </row>
    <row r="1808" spans="1:6" x14ac:dyDescent="0.3">
      <c r="A1808" s="42"/>
      <c r="B1808" s="58"/>
      <c r="C1808" s="42"/>
      <c r="D1808" s="42"/>
      <c r="E1808" s="42"/>
      <c r="F1808" s="42"/>
    </row>
    <row r="1809" spans="1:6" x14ac:dyDescent="0.3">
      <c r="A1809" s="42"/>
      <c r="B1809" s="58"/>
      <c r="C1809" s="42"/>
      <c r="D1809" s="42"/>
      <c r="E1809" s="42"/>
      <c r="F1809" s="42"/>
    </row>
    <row r="1810" spans="1:6" x14ac:dyDescent="0.3">
      <c r="A1810" s="42"/>
      <c r="B1810" s="58"/>
      <c r="C1810" s="42"/>
      <c r="D1810" s="42"/>
      <c r="E1810" s="42"/>
      <c r="F1810" s="42"/>
    </row>
    <row r="1811" spans="1:6" x14ac:dyDescent="0.3">
      <c r="A1811" s="42"/>
      <c r="B1811" s="58"/>
      <c r="C1811" s="42"/>
      <c r="D1811" s="42"/>
      <c r="E1811" s="42"/>
      <c r="F1811" s="42"/>
    </row>
    <row r="1812" spans="1:6" x14ac:dyDescent="0.3">
      <c r="A1812" s="42"/>
      <c r="B1812" s="58"/>
      <c r="C1812" s="42"/>
      <c r="D1812" s="42"/>
      <c r="E1812" s="42"/>
      <c r="F1812" s="42"/>
    </row>
    <row r="1813" spans="1:6" x14ac:dyDescent="0.3">
      <c r="A1813" s="42"/>
      <c r="B1813" s="58"/>
      <c r="C1813" s="42"/>
      <c r="D1813" s="42"/>
      <c r="E1813" s="42"/>
      <c r="F1813" s="42"/>
    </row>
    <row r="1814" spans="1:6" x14ac:dyDescent="0.3">
      <c r="A1814" s="42"/>
      <c r="B1814" s="58"/>
      <c r="C1814" s="42"/>
      <c r="D1814" s="42"/>
      <c r="E1814" s="42"/>
      <c r="F1814" s="42"/>
    </row>
    <row r="1815" spans="1:6" x14ac:dyDescent="0.3">
      <c r="A1815" s="42"/>
      <c r="B1815" s="58"/>
      <c r="C1815" s="42"/>
      <c r="D1815" s="42"/>
      <c r="E1815" s="42"/>
      <c r="F1815" s="42"/>
    </row>
    <row r="1816" spans="1:6" x14ac:dyDescent="0.3">
      <c r="A1816" s="42"/>
      <c r="B1816" s="58"/>
      <c r="C1816" s="42"/>
      <c r="D1816" s="42"/>
      <c r="E1816" s="42"/>
      <c r="F1816" s="42"/>
    </row>
    <row r="1817" spans="1:6" x14ac:dyDescent="0.3">
      <c r="A1817" s="42"/>
      <c r="B1817" s="58"/>
      <c r="C1817" s="42"/>
      <c r="D1817" s="42"/>
      <c r="E1817" s="42"/>
      <c r="F1817" s="42"/>
    </row>
    <row r="1818" spans="1:6" x14ac:dyDescent="0.3">
      <c r="A1818" s="42"/>
      <c r="B1818" s="58"/>
      <c r="C1818" s="42"/>
      <c r="D1818" s="42"/>
      <c r="E1818" s="42"/>
      <c r="F1818" s="42"/>
    </row>
    <row r="1819" spans="1:6" x14ac:dyDescent="0.3">
      <c r="A1819" s="42"/>
      <c r="B1819" s="58"/>
      <c r="C1819" s="42"/>
      <c r="D1819" s="42"/>
      <c r="E1819" s="42"/>
      <c r="F1819" s="42"/>
    </row>
    <row r="1820" spans="1:6" x14ac:dyDescent="0.3">
      <c r="A1820" s="42"/>
      <c r="B1820" s="58"/>
      <c r="C1820" s="42"/>
      <c r="D1820" s="42"/>
      <c r="E1820" s="42"/>
      <c r="F1820" s="42"/>
    </row>
    <row r="1821" spans="1:6" x14ac:dyDescent="0.3">
      <c r="A1821" s="42"/>
      <c r="B1821" s="58"/>
      <c r="C1821" s="42"/>
      <c r="D1821" s="42"/>
      <c r="E1821" s="42"/>
      <c r="F1821" s="42"/>
    </row>
    <row r="1822" spans="1:6" x14ac:dyDescent="0.3">
      <c r="A1822" s="42"/>
      <c r="B1822" s="58"/>
      <c r="C1822" s="42"/>
      <c r="D1822" s="42"/>
      <c r="E1822" s="42"/>
      <c r="F1822" s="42"/>
    </row>
    <row r="1823" spans="1:6" x14ac:dyDescent="0.3">
      <c r="A1823" s="42"/>
      <c r="B1823" s="58"/>
      <c r="C1823" s="42"/>
      <c r="D1823" s="42"/>
      <c r="E1823" s="42"/>
      <c r="F1823" s="42"/>
    </row>
    <row r="1824" spans="1:6" x14ac:dyDescent="0.3">
      <c r="A1824" s="42"/>
      <c r="B1824" s="58"/>
      <c r="C1824" s="42"/>
      <c r="D1824" s="42"/>
      <c r="E1824" s="42"/>
      <c r="F1824" s="42"/>
    </row>
    <row r="1825" spans="1:6" x14ac:dyDescent="0.3">
      <c r="A1825" s="42"/>
      <c r="B1825" s="58"/>
      <c r="C1825" s="42"/>
      <c r="D1825" s="42"/>
      <c r="E1825" s="42"/>
      <c r="F1825" s="42"/>
    </row>
    <row r="1826" spans="1:6" x14ac:dyDescent="0.3">
      <c r="A1826" s="42"/>
      <c r="B1826" s="58"/>
      <c r="C1826" s="42"/>
      <c r="D1826" s="42"/>
      <c r="E1826" s="42"/>
      <c r="F1826" s="42"/>
    </row>
    <row r="1827" spans="1:6" x14ac:dyDescent="0.3">
      <c r="A1827" s="42"/>
      <c r="B1827" s="58"/>
      <c r="C1827" s="42"/>
      <c r="D1827" s="42"/>
      <c r="E1827" s="42"/>
      <c r="F1827" s="42"/>
    </row>
    <row r="1828" spans="1:6" x14ac:dyDescent="0.3">
      <c r="A1828" s="42"/>
      <c r="B1828" s="58"/>
      <c r="C1828" s="42"/>
      <c r="D1828" s="42"/>
      <c r="E1828" s="42"/>
      <c r="F1828" s="42"/>
    </row>
    <row r="1829" spans="1:6" x14ac:dyDescent="0.3">
      <c r="A1829" s="42"/>
      <c r="B1829" s="58"/>
      <c r="C1829" s="42"/>
      <c r="D1829" s="42"/>
      <c r="E1829" s="42"/>
      <c r="F1829" s="42"/>
    </row>
    <row r="1830" spans="1:6" x14ac:dyDescent="0.3">
      <c r="A1830" s="42"/>
      <c r="B1830" s="58"/>
      <c r="C1830" s="42"/>
      <c r="D1830" s="42"/>
      <c r="E1830" s="42"/>
      <c r="F1830" s="42"/>
    </row>
    <row r="1831" spans="1:6" x14ac:dyDescent="0.3">
      <c r="A1831" s="42"/>
      <c r="B1831" s="58"/>
      <c r="C1831" s="42"/>
      <c r="D1831" s="42"/>
      <c r="E1831" s="42"/>
      <c r="F1831" s="42"/>
    </row>
    <row r="1832" spans="1:6" x14ac:dyDescent="0.3">
      <c r="A1832" s="42"/>
      <c r="B1832" s="58"/>
      <c r="C1832" s="42"/>
      <c r="D1832" s="42"/>
      <c r="E1832" s="42"/>
      <c r="F1832" s="42"/>
    </row>
    <row r="1833" spans="1:6" x14ac:dyDescent="0.3">
      <c r="A1833" s="42"/>
      <c r="B1833" s="58"/>
      <c r="C1833" s="42"/>
      <c r="D1833" s="42"/>
      <c r="E1833" s="42"/>
      <c r="F1833" s="42"/>
    </row>
    <row r="1834" spans="1:6" x14ac:dyDescent="0.3">
      <c r="A1834" s="42"/>
      <c r="B1834" s="58"/>
      <c r="C1834" s="42"/>
      <c r="D1834" s="42"/>
      <c r="E1834" s="42"/>
      <c r="F1834" s="42"/>
    </row>
    <row r="1835" spans="1:6" x14ac:dyDescent="0.3">
      <c r="A1835" s="42"/>
      <c r="B1835" s="58"/>
      <c r="C1835" s="42"/>
      <c r="D1835" s="42"/>
      <c r="E1835" s="42"/>
      <c r="F1835" s="42"/>
    </row>
    <row r="1836" spans="1:6" x14ac:dyDescent="0.3">
      <c r="A1836" s="42"/>
      <c r="B1836" s="58"/>
      <c r="C1836" s="42"/>
      <c r="D1836" s="42"/>
      <c r="E1836" s="42"/>
      <c r="F1836" s="42"/>
    </row>
    <row r="1837" spans="1:6" x14ac:dyDescent="0.3">
      <c r="A1837" s="42"/>
      <c r="B1837" s="58"/>
      <c r="C1837" s="42"/>
      <c r="D1837" s="42"/>
      <c r="E1837" s="42"/>
      <c r="F1837" s="42"/>
    </row>
    <row r="1838" spans="1:6" x14ac:dyDescent="0.3">
      <c r="A1838" s="42"/>
      <c r="B1838" s="58"/>
      <c r="C1838" s="42"/>
      <c r="D1838" s="42"/>
      <c r="E1838" s="42"/>
      <c r="F1838" s="42"/>
    </row>
    <row r="1839" spans="1:6" x14ac:dyDescent="0.3">
      <c r="A1839" s="42"/>
      <c r="B1839" s="58"/>
      <c r="C1839" s="42"/>
      <c r="D1839" s="42"/>
      <c r="E1839" s="42"/>
      <c r="F1839" s="42"/>
    </row>
    <row r="1840" spans="1:6" x14ac:dyDescent="0.3">
      <c r="A1840" s="42"/>
      <c r="B1840" s="58"/>
      <c r="C1840" s="42"/>
      <c r="D1840" s="42"/>
      <c r="E1840" s="42"/>
      <c r="F1840" s="42"/>
    </row>
    <row r="1841" spans="1:6" x14ac:dyDescent="0.3">
      <c r="A1841" s="42"/>
      <c r="B1841" s="58"/>
      <c r="C1841" s="42"/>
      <c r="D1841" s="42"/>
      <c r="E1841" s="42"/>
      <c r="F1841" s="42"/>
    </row>
    <row r="1842" spans="1:6" x14ac:dyDescent="0.3">
      <c r="A1842" s="42"/>
      <c r="B1842" s="58"/>
      <c r="C1842" s="42"/>
      <c r="D1842" s="42"/>
      <c r="E1842" s="42"/>
      <c r="F1842" s="42"/>
    </row>
    <row r="1843" spans="1:6" x14ac:dyDescent="0.3">
      <c r="A1843" s="42"/>
      <c r="B1843" s="58"/>
      <c r="C1843" s="42"/>
      <c r="D1843" s="42"/>
      <c r="E1843" s="42"/>
      <c r="F1843" s="42"/>
    </row>
    <row r="1844" spans="1:6" x14ac:dyDescent="0.3">
      <c r="A1844" s="42"/>
      <c r="B1844" s="58"/>
      <c r="C1844" s="42"/>
      <c r="D1844" s="42"/>
      <c r="E1844" s="42"/>
      <c r="F1844" s="42"/>
    </row>
    <row r="1845" spans="1:6" x14ac:dyDescent="0.3">
      <c r="A1845" s="42"/>
      <c r="B1845" s="58"/>
      <c r="C1845" s="42"/>
      <c r="D1845" s="42"/>
      <c r="E1845" s="42"/>
      <c r="F1845" s="42"/>
    </row>
    <row r="1846" spans="1:6" x14ac:dyDescent="0.3">
      <c r="A1846" s="42"/>
      <c r="B1846" s="58"/>
      <c r="C1846" s="42"/>
      <c r="D1846" s="42"/>
      <c r="E1846" s="42"/>
      <c r="F1846" s="42"/>
    </row>
    <row r="1847" spans="1:6" x14ac:dyDescent="0.3">
      <c r="A1847" s="42"/>
      <c r="B1847" s="58"/>
      <c r="C1847" s="42"/>
      <c r="D1847" s="42"/>
      <c r="E1847" s="42"/>
      <c r="F1847" s="42"/>
    </row>
    <row r="1848" spans="1:6" x14ac:dyDescent="0.3">
      <c r="A1848" s="42"/>
      <c r="B1848" s="58"/>
      <c r="C1848" s="42"/>
      <c r="D1848" s="42"/>
      <c r="E1848" s="42"/>
      <c r="F1848" s="42"/>
    </row>
    <row r="1849" spans="1:6" x14ac:dyDescent="0.3">
      <c r="A1849" s="42"/>
      <c r="B1849" s="58"/>
      <c r="C1849" s="42"/>
      <c r="D1849" s="42"/>
      <c r="E1849" s="42"/>
      <c r="F1849" s="42"/>
    </row>
    <row r="1850" spans="1:6" x14ac:dyDescent="0.3">
      <c r="A1850" s="42"/>
      <c r="B1850" s="58"/>
      <c r="C1850" s="42"/>
      <c r="D1850" s="42"/>
      <c r="E1850" s="42"/>
      <c r="F1850" s="42"/>
    </row>
    <row r="1851" spans="1:6" x14ac:dyDescent="0.3">
      <c r="A1851" s="42"/>
      <c r="B1851" s="58"/>
      <c r="C1851" s="42"/>
      <c r="D1851" s="42"/>
      <c r="E1851" s="42"/>
      <c r="F1851" s="42"/>
    </row>
    <row r="1852" spans="1:6" x14ac:dyDescent="0.3">
      <c r="A1852" s="42"/>
      <c r="B1852" s="58"/>
      <c r="C1852" s="42"/>
      <c r="D1852" s="42"/>
      <c r="E1852" s="42"/>
      <c r="F1852" s="42"/>
    </row>
    <row r="1853" spans="1:6" x14ac:dyDescent="0.3">
      <c r="A1853" s="42"/>
      <c r="B1853" s="58"/>
      <c r="C1853" s="42"/>
      <c r="D1853" s="42"/>
      <c r="E1853" s="42"/>
      <c r="F1853" s="42"/>
    </row>
    <row r="1854" spans="1:6" x14ac:dyDescent="0.3">
      <c r="A1854" s="42"/>
      <c r="B1854" s="58"/>
      <c r="C1854" s="42"/>
      <c r="D1854" s="42"/>
      <c r="E1854" s="42"/>
      <c r="F1854" s="42"/>
    </row>
    <row r="1855" spans="1:6" x14ac:dyDescent="0.3">
      <c r="A1855" s="42"/>
      <c r="B1855" s="58"/>
      <c r="C1855" s="42"/>
      <c r="D1855" s="42"/>
      <c r="E1855" s="42"/>
      <c r="F1855" s="42"/>
    </row>
    <row r="1856" spans="1:6" x14ac:dyDescent="0.3">
      <c r="A1856" s="42"/>
      <c r="B1856" s="58"/>
      <c r="C1856" s="42"/>
      <c r="D1856" s="42"/>
      <c r="E1856" s="42"/>
      <c r="F1856" s="42"/>
    </row>
    <row r="1857" spans="1:6" x14ac:dyDescent="0.3">
      <c r="A1857" s="42"/>
      <c r="B1857" s="58"/>
      <c r="C1857" s="42"/>
      <c r="D1857" s="42"/>
      <c r="E1857" s="42"/>
      <c r="F1857" s="42"/>
    </row>
    <row r="1858" spans="1:6" x14ac:dyDescent="0.3">
      <c r="A1858" s="42"/>
      <c r="B1858" s="58"/>
      <c r="C1858" s="42"/>
      <c r="D1858" s="42"/>
      <c r="E1858" s="42"/>
      <c r="F1858" s="42"/>
    </row>
    <row r="1859" spans="1:6" x14ac:dyDescent="0.3">
      <c r="A1859" s="42"/>
      <c r="B1859" s="58"/>
      <c r="C1859" s="42"/>
      <c r="D1859" s="42"/>
      <c r="E1859" s="42"/>
      <c r="F1859" s="42"/>
    </row>
    <row r="1860" spans="1:6" x14ac:dyDescent="0.3">
      <c r="A1860" s="42"/>
      <c r="B1860" s="58"/>
      <c r="C1860" s="42"/>
      <c r="D1860" s="42"/>
      <c r="E1860" s="42"/>
      <c r="F1860" s="42"/>
    </row>
    <row r="1861" spans="1:6" x14ac:dyDescent="0.3">
      <c r="A1861" s="42"/>
      <c r="B1861" s="58"/>
      <c r="C1861" s="42"/>
      <c r="D1861" s="42"/>
      <c r="E1861" s="42"/>
      <c r="F1861" s="42"/>
    </row>
    <row r="1862" spans="1:6" x14ac:dyDescent="0.3">
      <c r="A1862" s="42"/>
      <c r="B1862" s="58"/>
      <c r="C1862" s="42"/>
      <c r="D1862" s="42"/>
      <c r="E1862" s="42"/>
      <c r="F1862" s="42"/>
    </row>
    <row r="1863" spans="1:6" x14ac:dyDescent="0.3">
      <c r="A1863" s="42"/>
      <c r="B1863" s="58"/>
      <c r="C1863" s="42"/>
      <c r="D1863" s="42"/>
      <c r="E1863" s="42"/>
      <c r="F1863" s="42"/>
    </row>
    <row r="1864" spans="1:6" x14ac:dyDescent="0.3">
      <c r="A1864" s="42"/>
      <c r="B1864" s="58"/>
      <c r="C1864" s="42"/>
      <c r="D1864" s="42"/>
      <c r="E1864" s="42"/>
      <c r="F1864" s="42"/>
    </row>
    <row r="1865" spans="1:6" x14ac:dyDescent="0.3">
      <c r="A1865" s="42"/>
      <c r="B1865" s="58"/>
      <c r="C1865" s="42"/>
      <c r="D1865" s="42"/>
      <c r="E1865" s="42"/>
      <c r="F1865" s="42"/>
    </row>
    <row r="1866" spans="1:6" x14ac:dyDescent="0.3">
      <c r="A1866" s="42"/>
      <c r="B1866" s="58"/>
      <c r="C1866" s="42"/>
      <c r="D1866" s="42"/>
      <c r="E1866" s="42"/>
      <c r="F1866" s="42"/>
    </row>
    <row r="1867" spans="1:6" x14ac:dyDescent="0.3">
      <c r="A1867" s="42"/>
      <c r="B1867" s="58"/>
      <c r="C1867" s="42"/>
      <c r="D1867" s="42"/>
      <c r="E1867" s="42"/>
      <c r="F1867" s="42"/>
    </row>
    <row r="1868" spans="1:6" x14ac:dyDescent="0.3">
      <c r="A1868" s="42"/>
      <c r="B1868" s="58"/>
      <c r="C1868" s="42"/>
      <c r="D1868" s="42"/>
      <c r="E1868" s="42"/>
      <c r="F1868" s="42"/>
    </row>
    <row r="1869" spans="1:6" x14ac:dyDescent="0.3">
      <c r="A1869" s="42"/>
      <c r="B1869" s="58"/>
      <c r="C1869" s="42"/>
      <c r="D1869" s="42"/>
      <c r="E1869" s="42"/>
      <c r="F1869" s="42"/>
    </row>
    <row r="1870" spans="1:6" x14ac:dyDescent="0.3">
      <c r="A1870" s="42"/>
      <c r="B1870" s="58"/>
      <c r="C1870" s="42"/>
      <c r="D1870" s="42"/>
      <c r="E1870" s="42"/>
      <c r="F1870" s="42"/>
    </row>
    <row r="1871" spans="1:6" x14ac:dyDescent="0.3">
      <c r="A1871" s="42"/>
      <c r="B1871" s="58"/>
      <c r="C1871" s="42"/>
      <c r="D1871" s="42"/>
      <c r="E1871" s="42"/>
      <c r="F1871" s="42"/>
    </row>
    <row r="1872" spans="1:6" x14ac:dyDescent="0.3">
      <c r="A1872" s="42"/>
      <c r="B1872" s="58"/>
      <c r="C1872" s="42"/>
      <c r="D1872" s="42"/>
      <c r="E1872" s="42"/>
      <c r="F1872" s="42"/>
    </row>
    <row r="1873" spans="1:6" x14ac:dyDescent="0.3">
      <c r="A1873" s="42"/>
      <c r="B1873" s="58"/>
      <c r="C1873" s="42"/>
      <c r="D1873" s="42"/>
      <c r="E1873" s="42"/>
      <c r="F1873" s="42"/>
    </row>
    <row r="1874" spans="1:6" x14ac:dyDescent="0.3">
      <c r="A1874" s="42"/>
      <c r="B1874" s="58"/>
      <c r="C1874" s="42"/>
      <c r="D1874" s="42"/>
      <c r="E1874" s="42"/>
      <c r="F1874" s="42"/>
    </row>
    <row r="1875" spans="1:6" x14ac:dyDescent="0.3">
      <c r="A1875" s="42"/>
      <c r="B1875" s="58"/>
      <c r="C1875" s="42"/>
      <c r="D1875" s="42"/>
      <c r="E1875" s="42"/>
      <c r="F1875" s="42"/>
    </row>
    <row r="1876" spans="1:6" x14ac:dyDescent="0.3">
      <c r="A1876" s="42"/>
      <c r="B1876" s="58"/>
      <c r="C1876" s="42"/>
      <c r="D1876" s="42"/>
      <c r="E1876" s="42"/>
      <c r="F1876" s="42"/>
    </row>
    <row r="1877" spans="1:6" x14ac:dyDescent="0.3">
      <c r="A1877" s="42"/>
      <c r="B1877" s="58"/>
      <c r="C1877" s="42"/>
      <c r="D1877" s="42"/>
      <c r="E1877" s="42"/>
      <c r="F1877" s="42"/>
    </row>
    <row r="1878" spans="1:6" x14ac:dyDescent="0.3">
      <c r="A1878" s="42"/>
      <c r="B1878" s="58"/>
      <c r="C1878" s="42"/>
      <c r="D1878" s="42"/>
      <c r="E1878" s="42"/>
      <c r="F1878" s="42"/>
    </row>
    <row r="1879" spans="1:6" x14ac:dyDescent="0.3">
      <c r="A1879" s="42"/>
      <c r="B1879" s="58"/>
      <c r="C1879" s="42"/>
      <c r="D1879" s="42"/>
      <c r="E1879" s="42"/>
      <c r="F1879" s="42"/>
    </row>
    <row r="1880" spans="1:6" x14ac:dyDescent="0.3">
      <c r="A1880" s="42"/>
      <c r="B1880" s="58"/>
      <c r="C1880" s="42"/>
      <c r="D1880" s="42"/>
      <c r="E1880" s="42"/>
      <c r="F1880" s="42"/>
    </row>
    <row r="1881" spans="1:6" x14ac:dyDescent="0.3">
      <c r="A1881" s="42"/>
      <c r="B1881" s="58"/>
      <c r="C1881" s="42"/>
      <c r="D1881" s="42"/>
      <c r="E1881" s="42"/>
      <c r="F1881" s="42"/>
    </row>
    <row r="1882" spans="1:6" x14ac:dyDescent="0.3">
      <c r="A1882" s="42"/>
      <c r="B1882" s="58"/>
      <c r="C1882" s="42"/>
      <c r="D1882" s="42"/>
      <c r="E1882" s="42"/>
      <c r="F1882" s="42"/>
    </row>
    <row r="1883" spans="1:6" x14ac:dyDescent="0.3">
      <c r="A1883" s="42"/>
      <c r="B1883" s="58"/>
      <c r="C1883" s="42"/>
      <c r="D1883" s="42"/>
      <c r="E1883" s="42"/>
      <c r="F1883" s="42"/>
    </row>
    <row r="1884" spans="1:6" x14ac:dyDescent="0.3">
      <c r="A1884" s="42"/>
      <c r="B1884" s="58"/>
      <c r="C1884" s="42"/>
      <c r="D1884" s="42"/>
      <c r="E1884" s="42"/>
      <c r="F1884" s="42"/>
    </row>
    <row r="1885" spans="1:6" x14ac:dyDescent="0.3">
      <c r="A1885" s="42"/>
      <c r="B1885" s="58"/>
      <c r="C1885" s="42"/>
      <c r="D1885" s="42"/>
      <c r="E1885" s="42"/>
      <c r="F1885" s="42"/>
    </row>
    <row r="1886" spans="1:6" x14ac:dyDescent="0.3">
      <c r="A1886" s="42"/>
      <c r="B1886" s="58"/>
      <c r="C1886" s="42"/>
      <c r="D1886" s="42"/>
      <c r="E1886" s="42"/>
      <c r="F1886" s="42"/>
    </row>
    <row r="1887" spans="1:6" x14ac:dyDescent="0.3">
      <c r="A1887" s="42"/>
      <c r="B1887" s="58"/>
      <c r="C1887" s="42"/>
      <c r="D1887" s="42"/>
      <c r="E1887" s="42"/>
      <c r="F1887" s="42"/>
    </row>
    <row r="1888" spans="1:6" x14ac:dyDescent="0.3">
      <c r="A1888" s="42"/>
      <c r="B1888" s="58"/>
      <c r="C1888" s="42"/>
      <c r="D1888" s="42"/>
      <c r="E1888" s="42"/>
      <c r="F1888" s="42"/>
    </row>
    <row r="1889" spans="1:6" x14ac:dyDescent="0.3">
      <c r="A1889" s="42"/>
      <c r="B1889" s="58"/>
      <c r="C1889" s="42"/>
      <c r="D1889" s="42"/>
      <c r="E1889" s="42"/>
      <c r="F1889" s="42"/>
    </row>
    <row r="1890" spans="1:6" x14ac:dyDescent="0.3">
      <c r="A1890" s="42"/>
      <c r="B1890" s="58"/>
      <c r="C1890" s="42"/>
      <c r="D1890" s="42"/>
      <c r="E1890" s="42"/>
      <c r="F1890" s="42"/>
    </row>
    <row r="1891" spans="1:6" x14ac:dyDescent="0.3">
      <c r="A1891" s="42"/>
      <c r="B1891" s="58"/>
      <c r="C1891" s="42"/>
      <c r="D1891" s="42"/>
      <c r="E1891" s="42"/>
      <c r="F1891" s="42"/>
    </row>
    <row r="1892" spans="1:6" x14ac:dyDescent="0.3">
      <c r="A1892" s="42"/>
      <c r="B1892" s="58"/>
      <c r="C1892" s="42"/>
      <c r="D1892" s="42"/>
      <c r="E1892" s="42"/>
      <c r="F1892" s="42"/>
    </row>
    <row r="1893" spans="1:6" x14ac:dyDescent="0.3">
      <c r="A1893" s="42"/>
      <c r="B1893" s="58"/>
      <c r="C1893" s="42"/>
      <c r="D1893" s="42"/>
      <c r="E1893" s="42"/>
      <c r="F1893" s="42"/>
    </row>
    <row r="1894" spans="1:6" x14ac:dyDescent="0.3">
      <c r="A1894" s="42"/>
      <c r="B1894" s="58"/>
      <c r="C1894" s="42"/>
      <c r="D1894" s="42"/>
      <c r="E1894" s="42"/>
      <c r="F1894" s="42"/>
    </row>
    <row r="1895" spans="1:6" x14ac:dyDescent="0.3">
      <c r="A1895" s="42"/>
      <c r="B1895" s="58"/>
      <c r="C1895" s="42"/>
      <c r="D1895" s="42"/>
      <c r="E1895" s="42"/>
      <c r="F1895" s="42"/>
    </row>
    <row r="1896" spans="1:6" x14ac:dyDescent="0.3">
      <c r="A1896" s="42"/>
      <c r="B1896" s="58"/>
      <c r="C1896" s="42"/>
      <c r="D1896" s="42"/>
      <c r="E1896" s="42"/>
      <c r="F1896" s="42"/>
    </row>
    <row r="1897" spans="1:6" x14ac:dyDescent="0.3">
      <c r="A1897" s="42"/>
      <c r="B1897" s="58"/>
      <c r="C1897" s="42"/>
      <c r="D1897" s="42"/>
      <c r="E1897" s="42"/>
      <c r="F1897" s="42"/>
    </row>
    <row r="1898" spans="1:6" x14ac:dyDescent="0.3">
      <c r="A1898" s="42"/>
      <c r="B1898" s="58"/>
      <c r="C1898" s="42"/>
      <c r="D1898" s="42"/>
      <c r="E1898" s="42"/>
      <c r="F1898" s="42"/>
    </row>
    <row r="1899" spans="1:6" x14ac:dyDescent="0.3">
      <c r="A1899" s="42"/>
      <c r="B1899" s="58"/>
      <c r="C1899" s="42"/>
      <c r="D1899" s="42"/>
      <c r="E1899" s="42"/>
      <c r="F1899" s="42"/>
    </row>
    <row r="1900" spans="1:6" x14ac:dyDescent="0.3">
      <c r="A1900" s="42"/>
      <c r="B1900" s="58"/>
      <c r="C1900" s="42"/>
      <c r="D1900" s="42"/>
      <c r="E1900" s="42"/>
      <c r="F1900" s="42"/>
    </row>
    <row r="1901" spans="1:6" x14ac:dyDescent="0.3">
      <c r="A1901" s="42"/>
      <c r="B1901" s="58"/>
      <c r="C1901" s="42"/>
      <c r="D1901" s="42"/>
      <c r="E1901" s="42"/>
      <c r="F1901" s="42"/>
    </row>
    <row r="1902" spans="1:6" x14ac:dyDescent="0.3">
      <c r="A1902" s="42"/>
      <c r="B1902" s="58"/>
      <c r="C1902" s="42"/>
      <c r="D1902" s="42"/>
      <c r="E1902" s="42"/>
      <c r="F1902" s="42"/>
    </row>
    <row r="1903" spans="1:6" x14ac:dyDescent="0.3">
      <c r="A1903" s="42"/>
      <c r="B1903" s="58"/>
      <c r="C1903" s="42"/>
      <c r="D1903" s="42"/>
      <c r="E1903" s="42"/>
      <c r="F1903" s="42"/>
    </row>
    <row r="1904" spans="1:6" x14ac:dyDescent="0.3">
      <c r="A1904" s="42"/>
      <c r="B1904" s="58"/>
      <c r="C1904" s="42"/>
      <c r="D1904" s="42"/>
      <c r="E1904" s="42"/>
      <c r="F1904" s="42"/>
    </row>
    <row r="1905" spans="1:6" x14ac:dyDescent="0.3">
      <c r="A1905" s="42"/>
      <c r="B1905" s="58"/>
      <c r="C1905" s="42"/>
      <c r="D1905" s="42"/>
      <c r="E1905" s="42"/>
      <c r="F1905" s="42"/>
    </row>
    <row r="1906" spans="1:6" x14ac:dyDescent="0.3">
      <c r="A1906" s="42"/>
      <c r="B1906" s="58"/>
      <c r="C1906" s="42"/>
      <c r="D1906" s="42"/>
      <c r="E1906" s="42"/>
      <c r="F1906" s="42"/>
    </row>
    <row r="1907" spans="1:6" x14ac:dyDescent="0.3">
      <c r="A1907" s="42"/>
      <c r="B1907" s="58"/>
      <c r="C1907" s="42"/>
      <c r="D1907" s="42"/>
      <c r="E1907" s="42"/>
      <c r="F1907" s="42"/>
    </row>
    <row r="1908" spans="1:6" x14ac:dyDescent="0.3">
      <c r="A1908" s="42"/>
      <c r="B1908" s="58"/>
      <c r="C1908" s="42"/>
      <c r="D1908" s="42"/>
      <c r="E1908" s="42"/>
      <c r="F1908" s="42"/>
    </row>
    <row r="1909" spans="1:6" x14ac:dyDescent="0.3">
      <c r="A1909" s="42"/>
      <c r="B1909" s="58"/>
      <c r="C1909" s="42"/>
      <c r="D1909" s="42"/>
      <c r="E1909" s="42"/>
      <c r="F1909" s="42"/>
    </row>
    <row r="1910" spans="1:6" x14ac:dyDescent="0.3">
      <c r="A1910" s="42"/>
      <c r="B1910" s="58"/>
      <c r="C1910" s="42"/>
      <c r="D1910" s="42"/>
      <c r="E1910" s="42"/>
      <c r="F1910" s="42"/>
    </row>
    <row r="1911" spans="1:6" x14ac:dyDescent="0.3">
      <c r="A1911" s="42"/>
      <c r="B1911" s="58"/>
      <c r="C1911" s="42"/>
      <c r="D1911" s="42"/>
      <c r="E1911" s="42"/>
      <c r="F1911" s="42"/>
    </row>
    <row r="1912" spans="1:6" x14ac:dyDescent="0.3">
      <c r="A1912" s="42"/>
      <c r="B1912" s="58"/>
      <c r="C1912" s="42"/>
      <c r="D1912" s="42"/>
      <c r="E1912" s="42"/>
      <c r="F1912" s="42"/>
    </row>
    <row r="1913" spans="1:6" x14ac:dyDescent="0.3">
      <c r="A1913" s="42"/>
      <c r="B1913" s="58"/>
      <c r="C1913" s="42"/>
      <c r="D1913" s="42"/>
      <c r="E1913" s="42"/>
      <c r="F1913" s="42"/>
    </row>
    <row r="1914" spans="1:6" x14ac:dyDescent="0.3">
      <c r="A1914" s="42"/>
      <c r="B1914" s="58"/>
      <c r="C1914" s="42"/>
      <c r="D1914" s="42"/>
      <c r="E1914" s="42"/>
      <c r="F1914" s="42"/>
    </row>
    <row r="1915" spans="1:6" x14ac:dyDescent="0.3">
      <c r="A1915" s="42"/>
      <c r="B1915" s="58"/>
      <c r="C1915" s="42"/>
      <c r="D1915" s="42"/>
      <c r="E1915" s="42"/>
      <c r="F1915" s="42"/>
    </row>
    <row r="1916" spans="1:6" x14ac:dyDescent="0.3">
      <c r="A1916" s="42"/>
      <c r="B1916" s="58"/>
      <c r="C1916" s="42"/>
      <c r="D1916" s="42"/>
      <c r="E1916" s="42"/>
      <c r="F1916" s="42"/>
    </row>
    <row r="1917" spans="1:6" x14ac:dyDescent="0.3">
      <c r="A1917" s="42"/>
      <c r="B1917" s="58"/>
      <c r="C1917" s="42"/>
      <c r="D1917" s="42"/>
      <c r="E1917" s="42"/>
      <c r="F1917" s="42"/>
    </row>
    <row r="1918" spans="1:6" x14ac:dyDescent="0.3">
      <c r="A1918" s="42"/>
      <c r="B1918" s="58"/>
      <c r="C1918" s="42"/>
      <c r="D1918" s="42"/>
      <c r="E1918" s="42"/>
      <c r="F1918" s="42"/>
    </row>
    <row r="1919" spans="1:6" x14ac:dyDescent="0.3">
      <c r="A1919" s="42"/>
      <c r="B1919" s="58"/>
      <c r="C1919" s="42"/>
      <c r="D1919" s="42"/>
      <c r="E1919" s="42"/>
      <c r="F1919" s="42"/>
    </row>
    <row r="1920" spans="1:6" x14ac:dyDescent="0.3">
      <c r="A1920" s="42"/>
      <c r="B1920" s="58"/>
      <c r="C1920" s="42"/>
      <c r="D1920" s="42"/>
      <c r="E1920" s="42"/>
      <c r="F1920" s="42"/>
    </row>
    <row r="1921" spans="1:6" x14ac:dyDescent="0.3">
      <c r="A1921" s="42"/>
      <c r="B1921" s="58"/>
      <c r="C1921" s="42"/>
      <c r="D1921" s="42"/>
      <c r="E1921" s="42"/>
      <c r="F1921" s="42"/>
    </row>
    <row r="1922" spans="1:6" x14ac:dyDescent="0.3">
      <c r="A1922" s="42"/>
      <c r="B1922" s="58"/>
      <c r="C1922" s="42"/>
      <c r="D1922" s="42"/>
      <c r="E1922" s="42"/>
      <c r="F1922" s="42"/>
    </row>
    <row r="1923" spans="1:6" x14ac:dyDescent="0.3">
      <c r="A1923" s="42"/>
      <c r="B1923" s="58"/>
      <c r="C1923" s="42"/>
      <c r="D1923" s="42"/>
      <c r="E1923" s="42"/>
      <c r="F1923" s="42"/>
    </row>
    <row r="1924" spans="1:6" x14ac:dyDescent="0.3">
      <c r="A1924" s="42"/>
      <c r="B1924" s="58"/>
      <c r="C1924" s="42"/>
      <c r="D1924" s="42"/>
      <c r="E1924" s="42"/>
      <c r="F1924" s="42"/>
    </row>
    <row r="1925" spans="1:6" x14ac:dyDescent="0.3">
      <c r="A1925" s="42"/>
      <c r="B1925" s="58"/>
      <c r="C1925" s="42"/>
      <c r="D1925" s="42"/>
      <c r="E1925" s="42"/>
      <c r="F1925" s="42"/>
    </row>
    <row r="1926" spans="1:6" x14ac:dyDescent="0.3">
      <c r="A1926" s="42"/>
      <c r="B1926" s="58"/>
      <c r="C1926" s="42"/>
      <c r="D1926" s="42"/>
      <c r="E1926" s="42"/>
      <c r="F1926" s="42"/>
    </row>
    <row r="1927" spans="1:6" x14ac:dyDescent="0.3">
      <c r="A1927" s="42"/>
      <c r="B1927" s="58"/>
      <c r="C1927" s="42"/>
      <c r="D1927" s="42"/>
      <c r="E1927" s="42"/>
      <c r="F1927" s="42"/>
    </row>
    <row r="1928" spans="1:6" x14ac:dyDescent="0.3">
      <c r="A1928" s="42"/>
      <c r="B1928" s="58"/>
      <c r="C1928" s="42"/>
      <c r="D1928" s="42"/>
      <c r="E1928" s="42"/>
      <c r="F1928" s="42"/>
    </row>
    <row r="1929" spans="1:6" x14ac:dyDescent="0.3">
      <c r="A1929" s="42"/>
      <c r="B1929" s="58"/>
      <c r="C1929" s="42"/>
      <c r="D1929" s="42"/>
      <c r="E1929" s="42"/>
      <c r="F1929" s="42"/>
    </row>
    <row r="1930" spans="1:6" x14ac:dyDescent="0.3">
      <c r="A1930" s="42"/>
      <c r="B1930" s="58"/>
      <c r="C1930" s="42"/>
      <c r="D1930" s="42"/>
      <c r="E1930" s="42"/>
      <c r="F1930" s="42"/>
    </row>
    <row r="1931" spans="1:6" x14ac:dyDescent="0.3">
      <c r="A1931" s="42"/>
      <c r="B1931" s="58"/>
      <c r="C1931" s="42"/>
      <c r="D1931" s="42"/>
      <c r="E1931" s="42"/>
      <c r="F1931" s="42"/>
    </row>
    <row r="1932" spans="1:6" x14ac:dyDescent="0.3">
      <c r="A1932" s="42"/>
      <c r="B1932" s="58"/>
      <c r="C1932" s="42"/>
      <c r="D1932" s="42"/>
      <c r="E1932" s="42"/>
      <c r="F1932" s="42"/>
    </row>
    <row r="1933" spans="1:6" x14ac:dyDescent="0.3">
      <c r="A1933" s="42"/>
      <c r="B1933" s="58"/>
      <c r="C1933" s="42"/>
      <c r="D1933" s="42"/>
      <c r="E1933" s="42"/>
      <c r="F1933" s="42"/>
    </row>
    <row r="1934" spans="1:6" x14ac:dyDescent="0.3">
      <c r="A1934" s="42"/>
      <c r="B1934" s="58"/>
      <c r="C1934" s="42"/>
      <c r="D1934" s="42"/>
      <c r="E1934" s="42"/>
      <c r="F1934" s="42"/>
    </row>
    <row r="1935" spans="1:6" x14ac:dyDescent="0.3">
      <c r="A1935" s="42"/>
      <c r="B1935" s="58"/>
      <c r="C1935" s="42"/>
      <c r="D1935" s="42"/>
      <c r="E1935" s="42"/>
      <c r="F1935" s="42"/>
    </row>
    <row r="1936" spans="1:6" x14ac:dyDescent="0.3">
      <c r="A1936" s="42"/>
      <c r="B1936" s="58"/>
      <c r="C1936" s="42"/>
      <c r="D1936" s="42"/>
      <c r="E1936" s="42"/>
      <c r="F1936" s="42"/>
    </row>
    <row r="1937" spans="1:6" x14ac:dyDescent="0.3">
      <c r="A1937" s="42"/>
      <c r="B1937" s="58"/>
      <c r="C1937" s="42"/>
      <c r="D1937" s="42"/>
      <c r="E1937" s="42"/>
      <c r="F1937" s="42"/>
    </row>
    <row r="1938" spans="1:6" x14ac:dyDescent="0.3">
      <c r="A1938" s="42"/>
      <c r="B1938" s="58"/>
      <c r="C1938" s="42"/>
      <c r="D1938" s="42"/>
      <c r="E1938" s="42"/>
      <c r="F1938" s="42"/>
    </row>
    <row r="1939" spans="1:6" x14ac:dyDescent="0.3">
      <c r="A1939" s="42"/>
      <c r="B1939" s="58"/>
      <c r="C1939" s="42"/>
      <c r="D1939" s="42"/>
      <c r="E1939" s="42"/>
      <c r="F1939" s="42"/>
    </row>
    <row r="1940" spans="1:6" x14ac:dyDescent="0.3">
      <c r="A1940" s="42"/>
      <c r="B1940" s="58"/>
      <c r="C1940" s="42"/>
      <c r="D1940" s="42"/>
      <c r="E1940" s="42"/>
      <c r="F1940" s="42"/>
    </row>
    <row r="1941" spans="1:6" x14ac:dyDescent="0.3">
      <c r="A1941" s="42"/>
      <c r="B1941" s="58"/>
      <c r="C1941" s="42"/>
      <c r="D1941" s="42"/>
      <c r="E1941" s="42"/>
      <c r="F1941" s="42"/>
    </row>
    <row r="1942" spans="1:6" x14ac:dyDescent="0.3">
      <c r="A1942" s="42"/>
      <c r="B1942" s="58"/>
      <c r="C1942" s="42"/>
      <c r="D1942" s="42"/>
      <c r="E1942" s="42"/>
      <c r="F1942" s="42"/>
    </row>
    <row r="1943" spans="1:6" x14ac:dyDescent="0.3">
      <c r="A1943" s="42"/>
      <c r="B1943" s="58"/>
      <c r="C1943" s="42"/>
      <c r="D1943" s="42"/>
      <c r="E1943" s="42"/>
      <c r="F1943" s="42"/>
    </row>
    <row r="1944" spans="1:6" x14ac:dyDescent="0.3">
      <c r="A1944" s="42"/>
      <c r="B1944" s="58"/>
      <c r="C1944" s="42"/>
      <c r="D1944" s="42"/>
      <c r="E1944" s="42"/>
      <c r="F1944" s="42"/>
    </row>
    <row r="1945" spans="1:6" x14ac:dyDescent="0.3">
      <c r="A1945" s="42"/>
      <c r="B1945" s="58"/>
      <c r="C1945" s="42"/>
      <c r="D1945" s="42"/>
      <c r="E1945" s="42"/>
      <c r="F1945" s="42"/>
    </row>
    <row r="1946" spans="1:6" x14ac:dyDescent="0.3">
      <c r="A1946" s="42"/>
      <c r="B1946" s="58"/>
      <c r="C1946" s="42"/>
      <c r="D1946" s="42"/>
      <c r="E1946" s="42"/>
      <c r="F1946" s="42"/>
    </row>
    <row r="1947" spans="1:6" x14ac:dyDescent="0.3">
      <c r="A1947" s="42"/>
      <c r="B1947" s="58"/>
      <c r="C1947" s="42"/>
      <c r="D1947" s="42"/>
      <c r="E1947" s="42"/>
      <c r="F1947" s="42"/>
    </row>
    <row r="1948" spans="1:6" x14ac:dyDescent="0.3">
      <c r="A1948" s="42"/>
      <c r="B1948" s="58"/>
      <c r="C1948" s="42"/>
      <c r="D1948" s="42"/>
      <c r="E1948" s="42"/>
      <c r="F1948" s="42"/>
    </row>
    <row r="1949" spans="1:6" x14ac:dyDescent="0.3">
      <c r="A1949" s="42"/>
      <c r="B1949" s="58"/>
      <c r="C1949" s="42"/>
      <c r="D1949" s="42"/>
      <c r="E1949" s="42"/>
      <c r="F1949" s="42"/>
    </row>
    <row r="1950" spans="1:6" x14ac:dyDescent="0.3">
      <c r="A1950" s="42"/>
      <c r="B1950" s="58"/>
      <c r="C1950" s="42"/>
      <c r="D1950" s="42"/>
      <c r="E1950" s="42"/>
      <c r="F1950" s="42"/>
    </row>
    <row r="1951" spans="1:6" x14ac:dyDescent="0.3">
      <c r="A1951" s="42"/>
      <c r="B1951" s="58"/>
      <c r="C1951" s="42"/>
      <c r="D1951" s="42"/>
      <c r="E1951" s="42"/>
      <c r="F1951" s="42"/>
    </row>
    <row r="1952" spans="1:6" x14ac:dyDescent="0.3">
      <c r="A1952" s="42"/>
      <c r="B1952" s="58"/>
      <c r="C1952" s="42"/>
      <c r="D1952" s="42"/>
      <c r="E1952" s="42"/>
      <c r="F1952" s="42"/>
    </row>
    <row r="1953" spans="1:6" x14ac:dyDescent="0.3">
      <c r="A1953" s="42"/>
      <c r="B1953" s="58"/>
      <c r="C1953" s="42"/>
      <c r="D1953" s="42"/>
      <c r="E1953" s="42"/>
      <c r="F1953" s="42"/>
    </row>
    <row r="1954" spans="1:6" x14ac:dyDescent="0.3">
      <c r="A1954" s="42"/>
      <c r="B1954" s="58"/>
      <c r="C1954" s="42"/>
      <c r="D1954" s="42"/>
      <c r="E1954" s="42"/>
      <c r="F1954" s="42"/>
    </row>
    <row r="1955" spans="1:6" x14ac:dyDescent="0.3">
      <c r="A1955" s="42"/>
      <c r="B1955" s="58"/>
      <c r="C1955" s="42"/>
      <c r="D1955" s="42"/>
      <c r="E1955" s="42"/>
      <c r="F1955" s="42"/>
    </row>
    <row r="1956" spans="1:6" x14ac:dyDescent="0.3">
      <c r="A1956" s="42"/>
      <c r="B1956" s="58"/>
      <c r="C1956" s="42"/>
      <c r="D1956" s="42"/>
      <c r="E1956" s="42"/>
      <c r="F1956" s="42"/>
    </row>
    <row r="1957" spans="1:6" x14ac:dyDescent="0.3">
      <c r="A1957" s="42"/>
      <c r="B1957" s="58"/>
      <c r="C1957" s="42"/>
      <c r="D1957" s="42"/>
      <c r="E1957" s="42"/>
      <c r="F1957" s="42"/>
    </row>
    <row r="1958" spans="1:6" x14ac:dyDescent="0.3">
      <c r="A1958" s="42"/>
      <c r="B1958" s="58"/>
      <c r="C1958" s="42"/>
      <c r="D1958" s="42"/>
      <c r="E1958" s="42"/>
      <c r="F1958" s="42"/>
    </row>
    <row r="1959" spans="1:6" x14ac:dyDescent="0.3">
      <c r="A1959" s="42"/>
      <c r="B1959" s="58"/>
      <c r="C1959" s="42"/>
      <c r="D1959" s="42"/>
      <c r="E1959" s="42"/>
      <c r="F1959" s="42"/>
    </row>
    <row r="1960" spans="1:6" x14ac:dyDescent="0.3">
      <c r="A1960" s="42"/>
      <c r="B1960" s="58"/>
      <c r="C1960" s="42"/>
      <c r="D1960" s="42"/>
      <c r="E1960" s="42"/>
      <c r="F1960" s="42"/>
    </row>
    <row r="1961" spans="1:6" x14ac:dyDescent="0.3">
      <c r="A1961" s="42"/>
      <c r="B1961" s="58"/>
      <c r="C1961" s="42"/>
      <c r="D1961" s="42"/>
      <c r="E1961" s="42"/>
      <c r="F1961" s="42"/>
    </row>
    <row r="1962" spans="1:6" x14ac:dyDescent="0.3">
      <c r="A1962" s="42"/>
      <c r="B1962" s="58"/>
      <c r="C1962" s="42"/>
      <c r="D1962" s="42"/>
      <c r="E1962" s="42"/>
      <c r="F1962" s="42"/>
    </row>
    <row r="1963" spans="1:6" x14ac:dyDescent="0.3">
      <c r="A1963" s="42"/>
      <c r="B1963" s="58"/>
      <c r="C1963" s="42"/>
      <c r="D1963" s="42"/>
      <c r="E1963" s="42"/>
      <c r="F1963" s="42"/>
    </row>
    <row r="1964" spans="1:6" x14ac:dyDescent="0.3">
      <c r="A1964" s="42"/>
      <c r="B1964" s="58"/>
      <c r="C1964" s="42"/>
      <c r="D1964" s="42"/>
      <c r="E1964" s="42"/>
      <c r="F1964" s="42"/>
    </row>
    <row r="1965" spans="1:6" x14ac:dyDescent="0.3">
      <c r="A1965" s="42"/>
      <c r="B1965" s="58"/>
      <c r="C1965" s="42"/>
      <c r="D1965" s="42"/>
      <c r="E1965" s="42"/>
      <c r="F1965" s="42"/>
    </row>
    <row r="1966" spans="1:6" x14ac:dyDescent="0.3">
      <c r="A1966" s="42"/>
      <c r="B1966" s="58"/>
      <c r="C1966" s="42"/>
      <c r="D1966" s="42"/>
      <c r="E1966" s="42"/>
      <c r="F1966" s="42"/>
    </row>
    <row r="1967" spans="1:6" x14ac:dyDescent="0.3">
      <c r="A1967" s="42"/>
      <c r="B1967" s="58"/>
      <c r="C1967" s="42"/>
      <c r="D1967" s="42"/>
      <c r="E1967" s="42"/>
      <c r="F1967" s="42"/>
    </row>
  </sheetData>
  <conditionalFormatting sqref="A1968:A1048576 A918:A926 A875:A879 A886:A893 A966:A973 A1001:A1009 A1:A802">
    <cfRule type="expression" dxfId="41" priority="49">
      <formula>A1="Code"</formula>
    </cfRule>
  </conditionalFormatting>
  <conditionalFormatting sqref="B1968:B1048576 B918:B926 B875:B879 B886:B893 B966:B973 B1001:B1009 B1:B802">
    <cfRule type="expression" dxfId="40" priority="48">
      <formula>B1="Items"</formula>
    </cfRule>
  </conditionalFormatting>
  <conditionalFormatting sqref="C1968:C1048576 C918:C926 C875:C879 C886:C893 C966:C973 C1001:C1009 C1:C802">
    <cfRule type="expression" dxfId="39" priority="46">
      <formula>C1="Voucher No.:"</formula>
    </cfRule>
    <cfRule type="expression" dxfId="38" priority="47">
      <formula>C1="Unit"</formula>
    </cfRule>
  </conditionalFormatting>
  <conditionalFormatting sqref="D1968:D1048576 D918:D926 D875:D879 D886:D893 D966:D973 D1001:D1009 D1:D802">
    <cfRule type="expression" dxfId="37" priority="45">
      <formula>D1="Qty."</formula>
    </cfRule>
  </conditionalFormatting>
  <conditionalFormatting sqref="E1968:E1048576 E918:E926 E875:E879 E886:E893 E966:E973 E1001:E1009 E1:E802">
    <cfRule type="expression" dxfId="36" priority="44">
      <formula>E1="Price"</formula>
    </cfRule>
  </conditionalFormatting>
  <conditionalFormatting sqref="F1968:F1048576 F918:F926 F875:F879 F886:F893 F966:F973 F1001:F1009 F1:F802">
    <cfRule type="expression" dxfId="35" priority="43">
      <formula>F1="Total"</formula>
    </cfRule>
  </conditionalFormatting>
  <conditionalFormatting sqref="A803:A815">
    <cfRule type="expression" dxfId="34" priority="35">
      <formula>A803="Code"</formula>
    </cfRule>
  </conditionalFormatting>
  <conditionalFormatting sqref="B803:B815">
    <cfRule type="expression" dxfId="33" priority="34">
      <formula>B803="Items"</formula>
    </cfRule>
  </conditionalFormatting>
  <conditionalFormatting sqref="C803:C815">
    <cfRule type="expression" dxfId="32" priority="32">
      <formula>C803="Voucher No.:"</formula>
    </cfRule>
    <cfRule type="expression" dxfId="31" priority="33">
      <formula>C803="Unit"</formula>
    </cfRule>
  </conditionalFormatting>
  <conditionalFormatting sqref="D803:D815">
    <cfRule type="expression" dxfId="30" priority="31">
      <formula>D803="Qty."</formula>
    </cfRule>
  </conditionalFormatting>
  <conditionalFormatting sqref="E803:E815">
    <cfRule type="expression" dxfId="29" priority="30">
      <formula>E803="Price"</formula>
    </cfRule>
  </conditionalFormatting>
  <conditionalFormatting sqref="F803:F815">
    <cfRule type="expression" dxfId="28" priority="29">
      <formula>F803="Total"</formula>
    </cfRule>
  </conditionalFormatting>
  <conditionalFormatting sqref="A818:A827">
    <cfRule type="expression" dxfId="27" priority="28">
      <formula>A818="Code"</formula>
    </cfRule>
  </conditionalFormatting>
  <conditionalFormatting sqref="B818:B827">
    <cfRule type="expression" dxfId="26" priority="27">
      <formula>B818="Items"</formula>
    </cfRule>
  </conditionalFormatting>
  <conditionalFormatting sqref="C818:C827">
    <cfRule type="expression" dxfId="25" priority="25">
      <formula>C818="Voucher No.:"</formula>
    </cfRule>
    <cfRule type="expression" dxfId="24" priority="26">
      <formula>C818="Unit"</formula>
    </cfRule>
  </conditionalFormatting>
  <conditionalFormatting sqref="D818:D827">
    <cfRule type="expression" dxfId="23" priority="24">
      <formula>D818="Qty."</formula>
    </cfRule>
  </conditionalFormatting>
  <conditionalFormatting sqref="E818:E827">
    <cfRule type="expression" dxfId="22" priority="23">
      <formula>E818="Price"</formula>
    </cfRule>
  </conditionalFormatting>
  <conditionalFormatting sqref="F818:F827">
    <cfRule type="expression" dxfId="21" priority="22">
      <formula>F818="Total"</formula>
    </cfRule>
  </conditionalFormatting>
  <conditionalFormatting sqref="A828:A834 A848:A854 A868:A874 A880:A885 A894:A900 A914:A917 A927:A933 A939:A945 A959:A965 A974:A980 A994:A1000 A1010:A1016 A1030:A1036 A1050:A1056 A1070:A1076 A1090:A1096 A1110:A1116 A1130:A1136 A1150:A1156 A1170:A1176 A1190:A1196 A1210:A1216 A1230:A1236 A1250:A1256 A1270:A1276 A1290:A1296 A1310:A1316 A1330:A1336 A1350:A1356 A1370:A1376 A1390:A1396 A1410:A1416 A1430:A1436 A1450:A1456 A1470:A1476 A1490:A1496 A1510:A1516 A1530:A1536 A1550:A1556 A1570:A1576 A1590:A1596 A1610:A1616 A1630:A1636 A1650:A1656 A1670:A1676 A1690:A1696 A1710:A1716 A1730:A1736 A1750:A1756 A1770:A1776 A1790:A1796 A1810:A1816 A1830:A1836 A1850:A1856 A1870:A1876 A1890:A1896 A1910:A1916 A1930:A1936 A1950:A1956">
    <cfRule type="expression" dxfId="20" priority="21">
      <formula>A828="Code"</formula>
    </cfRule>
  </conditionalFormatting>
  <conditionalFormatting sqref="B828:B834 B848:B854 B868:B874 B880:B885 B894:B900 B914:B917 B927:B933 B939:B945 B959:B965 B974:B980 B994:B1000 B1010:B1016 B1030:B1036 B1050:B1056 B1070:B1076 B1090:B1096 B1110:B1116 B1130:B1136 B1150:B1156 B1170:B1176 B1190:B1196 B1210:B1216 B1230:B1236 B1250:B1256 B1270:B1276 B1290:B1296 B1310:B1316 B1330:B1336 B1350:B1356 B1370:B1376 B1390:B1396 B1410:B1416 B1430:B1436 B1450:B1456 B1470:B1476 B1490:B1496 B1510:B1516 B1530:B1536 B1550:B1556 B1570:B1576 B1590:B1596 B1610:B1616 B1630:B1636 B1650:B1656 B1670:B1676 B1690:B1696 B1710:B1716 B1730:B1736 B1750:B1756 B1770:B1776 B1790:B1796 B1810:B1816 B1830:B1836 B1850:B1856 B1870:B1876 B1890:B1896 B1910:B1916 B1930:B1936 B1950:B1956">
    <cfRule type="expression" dxfId="19" priority="20">
      <formula>B828="Items"</formula>
    </cfRule>
  </conditionalFormatting>
  <conditionalFormatting sqref="C828:C834 C848:C854 C868:C874 C880:C885 C894:C900 C914:C917 C927:C933 C939:C945 C959:C965 C974:C980 C994:C1000 C1010:C1016 C1030:C1036 C1050:C1056 C1070:C1076 C1090:C1096 C1110:C1116 C1130:C1136 C1150:C1156 C1170:C1176 C1190:C1196 C1210:C1216 C1230:C1236 C1250:C1256 C1270:C1276 C1290:C1296 C1310:C1316 C1330:C1336 C1350:C1356 C1370:C1376 C1390:C1396 C1410:C1416 C1430:C1436 C1450:C1456 C1470:C1476 C1490:C1496 C1510:C1516 C1530:C1536 C1550:C1556 C1570:C1576 C1590:C1596 C1610:C1616 C1630:C1636 C1650:C1656 C1670:C1676 C1690:C1696 C1710:C1716 C1730:C1736 C1750:C1756 C1770:C1776 C1790:C1796 C1810:C1816 C1830:C1836 C1850:C1856 C1870:C1876 C1890:C1896 C1910:C1916 C1930:C1936 C1950:C1956">
    <cfRule type="expression" dxfId="18" priority="18">
      <formula>C828="Voucher No.:"</formula>
    </cfRule>
    <cfRule type="expression" dxfId="17" priority="19">
      <formula>C828="Unit"</formula>
    </cfRule>
  </conditionalFormatting>
  <conditionalFormatting sqref="D828:D834 D848:D854 D868:D874 D880:D885 D894:D900 D914:D917 D927:D933 D939:D945 D959:D965 D974:D980 D994:D1000 D1010:D1016 D1030:D1036 D1050:D1056 D1070:D1076 D1090:D1096 D1110:D1116 D1130:D1136 D1150:D1156 D1170:D1176 D1190:D1196 D1210:D1216 D1230:D1236 D1250:D1256 D1270:D1276 D1290:D1296 D1310:D1316 D1330:D1336 D1350:D1356 D1370:D1376 D1390:D1396 D1410:D1416 D1430:D1436 D1450:D1456 D1470:D1476 D1490:D1496 D1510:D1516 D1530:D1536 D1550:D1556 D1570:D1576 D1590:D1596 D1610:D1616 D1630:D1636 D1650:D1656 D1670:D1676 D1690:D1696 D1710:D1716 D1730:D1736 D1750:D1756 D1770:D1776 D1790:D1796 D1810:D1816 D1830:D1836 D1850:D1856 D1870:D1876 D1890:D1896 D1910:D1916 D1930:D1936 D1950:D1956">
    <cfRule type="expression" dxfId="16" priority="17">
      <formula>D828="Qty."</formula>
    </cfRule>
  </conditionalFormatting>
  <conditionalFormatting sqref="E828:E834 E848:E854 E868:E874 E880:E885 E894:E900 E914:E917 E927:E933 E939:E945 E959:E965 E974:E980 E994:E1000 E1010:E1016 E1030:E1036 E1050:E1056 E1070:E1076 E1090:E1096 E1110:E1116 E1130:E1136 E1150:E1156 E1170:E1176 E1190:E1196 E1210:E1216 E1230:E1236 E1250:E1256 E1270:E1276 E1290:E1296 E1310:E1316 E1330:E1336 E1350:E1356 E1370:E1376 E1390:E1396 E1410:E1416 E1430:E1436 E1450:E1456 E1470:E1476 E1490:E1496 E1510:E1516 E1530:E1536 E1550:E1556 E1570:E1576 E1590:E1596 E1610:E1616 E1630:E1636 E1650:E1656 E1670:E1676 E1690:E1696 E1710:E1716 E1730:E1736 E1750:E1756 E1770:E1776 E1790:E1796 E1810:E1816 E1830:E1836 E1850:E1856 E1870:E1876 E1890:E1896 E1910:E1916 E1930:E1936 E1950:E1956">
    <cfRule type="expression" dxfId="15" priority="16">
      <formula>E828="Price"</formula>
    </cfRule>
  </conditionalFormatting>
  <conditionalFormatting sqref="F828:F834 F848:F854 F868:F874 F880:F885 F894:F900 F914:F917 F927:F933 F939:F945 F959:F965 F974:F980 F994:F1000 F1010:F1016 F1030:F1036 F1050:F1056 F1070:F1076 F1090:F1096 F1110:F1116 F1130:F1136 F1150:F1156 F1170:F1176 F1190:F1196 F1210:F1216 F1230:F1236 F1250:F1256 F1270:F1276 F1290:F1296 F1310:F1316 F1330:F1336 F1350:F1356 F1370:F1376 F1390:F1396 F1410:F1416 F1430:F1436 F1450:F1456 F1470:F1476 F1490:F1496 F1510:F1516 F1530:F1536 F1550:F1556 F1570:F1576 F1590:F1596 F1610:F1616 F1630:F1636 F1650:F1656 F1670:F1676 F1690:F1696 F1710:F1716 F1730:F1736 F1750:F1756 F1770:F1776 F1790:F1796 F1810:F1816 F1830:F1836 F1850:F1856 F1870:F1876 F1890:F1896 F1910:F1916 F1930:F1936 F1950:F1956">
    <cfRule type="expression" dxfId="14" priority="15">
      <formula>F828="Total"</formula>
    </cfRule>
  </conditionalFormatting>
  <conditionalFormatting sqref="A835:A847 A855:A867 A901:A913 A934:A938 A946:A958 A981:A993 A1017:A1029 A1037:A1049 A1057:A1069 A1077:A1089 A1097:A1109 A1117:A1129 A1137:A1149 A1157:A1169 A1177:A1189 A1197:A1209 A1217:A1229 A1237:A1249 A1257:A1269 A1277:A1289 A1297:A1309 A1317:A1329 A1337:A1349 A1357:A1369 A1377:A1389 A1397:A1409 A1417:A1429 A1437:A1449 A1457:A1469 A1477:A1489 A1497:A1509 A1517:A1529 A1537:A1549 A1557:A1569 A1577:A1589 A1597:A1609 A1617:A1629 A1637:A1649 A1657:A1669 A1677:A1689 A1697:A1709 A1717:A1729 A1737:A1749 A1757:A1769 A1777:A1789 A1797:A1809 A1817:A1829 A1837:A1849 A1857:A1869 A1877:A1889 A1897:A1909 A1917:A1929 A1937:A1949 A1957:A1967">
    <cfRule type="expression" dxfId="13" priority="14">
      <formula>A835="Code"</formula>
    </cfRule>
  </conditionalFormatting>
  <conditionalFormatting sqref="B835:B847 B855:B867 B901:B913 B934:B938 B946:B958 B981:B993 B1017:B1029 B1037:B1049 B1057:B1069 B1077:B1089 B1097:B1109 B1117:B1129 B1137:B1149 B1157:B1169 B1177:B1189 B1197:B1209 B1217:B1229 B1237:B1249 B1257:B1269 B1277:B1289 B1297:B1309 B1317:B1329 B1337:B1349 B1357:B1369 B1377:B1389 B1397:B1409 B1417:B1429 B1437:B1449 B1457:B1469 B1477:B1489 B1497:B1509 B1517:B1529 B1537:B1549 B1557:B1569 B1577:B1589 B1597:B1609 B1617:B1629 B1637:B1649 B1657:B1669 B1677:B1689 B1697:B1709 B1717:B1729 B1737:B1749 B1757:B1769 B1777:B1789 B1797:B1809 B1817:B1829 B1837:B1849 B1857:B1869 B1877:B1889 B1897:B1909 B1917:B1929 B1937:B1949 B1957:B1967">
    <cfRule type="expression" dxfId="12" priority="13">
      <formula>B835="Items"</formula>
    </cfRule>
  </conditionalFormatting>
  <conditionalFormatting sqref="C835:C847 C855:C867 C901:C913 C934:C938 C946:C958 C981:C993 C1017:C1029 C1037:C1049 C1057:C1069 C1077:C1089 C1097:C1109 C1117:C1129 C1137:C1149 C1157:C1169 C1177:C1189 C1197:C1209 C1217:C1229 C1237:C1249 C1257:C1269 C1277:C1289 C1297:C1309 C1317:C1329 C1337:C1349 C1357:C1369 C1377:C1389 C1397:C1409 C1417:C1429 C1437:C1449 C1457:C1469 C1477:C1489 C1497:C1509 C1517:C1529 C1537:C1549 C1557:C1569 C1577:C1589 C1597:C1609 C1617:C1629 C1637:C1649 C1657:C1669 C1677:C1689 C1697:C1709 C1717:C1729 C1737:C1749 C1757:C1769 C1777:C1789 C1797:C1809 C1817:C1829 C1837:C1849 C1857:C1869 C1877:C1889 C1897:C1909 C1917:C1929 C1937:C1949 C1957:C1967">
    <cfRule type="expression" dxfId="11" priority="11">
      <formula>C835="Voucher No.:"</formula>
    </cfRule>
    <cfRule type="expression" dxfId="10" priority="12">
      <formula>C835="Unit"</formula>
    </cfRule>
  </conditionalFormatting>
  <conditionalFormatting sqref="D835:D847 D855:D867 D901:D913 D934:D938 D946:D958 D981:D993 D1017:D1029 D1037:D1049 D1057:D1069 D1077:D1089 D1097:D1109 D1117:D1129 D1137:D1149 D1157:D1169 D1177:D1189 D1197:D1209 D1217:D1229 D1237:D1249 D1257:D1269 D1277:D1289 D1297:D1309 D1317:D1329 D1337:D1349 D1357:D1369 D1377:D1389 D1397:D1409 D1417:D1429 D1437:D1449 D1457:D1469 D1477:D1489 D1497:D1509 D1517:D1529 D1537:D1549 D1557:D1569 D1577:D1589 D1597:D1609 D1617:D1629 D1637:D1649 D1657:D1669 D1677:D1689 D1697:D1709 D1717:D1729 D1737:D1749 D1757:D1769 D1777:D1789 D1797:D1809 D1817:D1829 D1837:D1849 D1857:D1869 D1877:D1889 D1897:D1909 D1917:D1929 D1937:D1949 D1957:D1967">
    <cfRule type="expression" dxfId="9" priority="10">
      <formula>D835="Qty."</formula>
    </cfRule>
  </conditionalFormatting>
  <conditionalFormatting sqref="E835:E847 E855:E867 E901:E913 E934:E938 E946:E958 E981:E993 E1017:E1029 E1037:E1049 E1057:E1069 E1077:E1089 E1097:E1109 E1117:E1129 E1137:E1149 E1157:E1169 E1177:E1189 E1197:E1209 E1217:E1229 E1237:E1249 E1257:E1269 E1277:E1289 E1297:E1309 E1317:E1329 E1337:E1349 E1357:E1369 E1377:E1389 E1397:E1409 E1417:E1429 E1437:E1449 E1457:E1469 E1477:E1489 E1497:E1509 E1517:E1529 E1537:E1549 E1557:E1569 E1577:E1589 E1597:E1609 E1617:E1629 E1637:E1649 E1657:E1669 E1677:E1689 E1697:E1709 E1717:E1729 E1737:E1749 E1757:E1769 E1777:E1789 E1797:E1809 E1817:E1829 E1837:E1849 E1857:E1869 E1877:E1889 E1897:E1909 E1917:E1929 E1937:E1949 E1957:E1967">
    <cfRule type="expression" dxfId="8" priority="9">
      <formula>E835="Price"</formula>
    </cfRule>
  </conditionalFormatting>
  <conditionalFormatting sqref="F835:F847 F855:F867 F901:F913 F934:F938 F946:F958 F981:F993 F1017:F1029 F1037:F1049 F1057:F1069 F1077:F1089 F1097:F1109 F1117:F1129 F1137:F1149 F1157:F1169 F1177:F1189 F1197:F1209 F1217:F1229 F1237:F1249 F1257:F1269 F1277:F1289 F1297:F1309 F1317:F1329 F1337:F1349 F1357:F1369 F1377:F1389 F1397:F1409 F1417:F1429 F1437:F1449 F1457:F1469 F1477:F1489 F1497:F1509 F1517:F1529 F1537:F1549 F1557:F1569 F1577:F1589 F1597:F1609 F1617:F1629 F1637:F1649 F1657:F1669 F1677:F1689 F1697:F1709 F1717:F1729 F1737:F1749 F1757:F1769 F1777:F1789 F1797:F1809 F1817:F1829 F1837:F1849 F1857:F1869 F1877:F1889 F1897:F1909 F1917:F1929 F1937:F1949 F1957:F1967">
    <cfRule type="expression" dxfId="7" priority="8">
      <formula>F835="Total"</formula>
    </cfRule>
  </conditionalFormatting>
  <conditionalFormatting sqref="A816:A817">
    <cfRule type="expression" dxfId="6" priority="7">
      <formula>A816="Code"</formula>
    </cfRule>
  </conditionalFormatting>
  <conditionalFormatting sqref="B816:B817">
    <cfRule type="expression" dxfId="5" priority="6">
      <formula>B816="Items"</formula>
    </cfRule>
  </conditionalFormatting>
  <conditionalFormatting sqref="C816:C817">
    <cfRule type="expression" dxfId="4" priority="4">
      <formula>C816="Voucher No.:"</formula>
    </cfRule>
    <cfRule type="expression" dxfId="3" priority="5">
      <formula>C816="Unit"</formula>
    </cfRule>
  </conditionalFormatting>
  <conditionalFormatting sqref="D816:D817">
    <cfRule type="expression" dxfId="2" priority="3">
      <formula>D816="Qty."</formula>
    </cfRule>
  </conditionalFormatting>
  <conditionalFormatting sqref="E816:E817">
    <cfRule type="expression" dxfId="1" priority="2">
      <formula>E816="Price"</formula>
    </cfRule>
  </conditionalFormatting>
  <conditionalFormatting sqref="F816:F817">
    <cfRule type="expression" dxfId="0" priority="1">
      <formula>F816="Total"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F426"/>
  <sheetViews>
    <sheetView zoomScaleNormal="100" workbookViewId="0">
      <pane xSplit="3" ySplit="2" topLeftCell="D70" activePane="bottomRight" state="frozen"/>
      <selection pane="topRight" activeCell="D1" sqref="D1"/>
      <selection pane="bottomLeft" activeCell="A3" sqref="A3"/>
      <selection pane="bottomRight" activeCell="D76" sqref="D76"/>
    </sheetView>
  </sheetViews>
  <sheetFormatPr defaultRowHeight="14.4" x14ac:dyDescent="0.3"/>
  <cols>
    <col min="2" max="2" width="9" customWidth="1"/>
    <col min="3" max="3" width="59.6640625" style="48" bestFit="1" customWidth="1"/>
    <col min="4" max="4" width="22.33203125" customWidth="1"/>
    <col min="5" max="5" width="14.109375" customWidth="1"/>
    <col min="6" max="6" width="16.88671875" customWidth="1"/>
  </cols>
  <sheetData>
    <row r="2" spans="2:6" x14ac:dyDescent="0.3">
      <c r="B2" s="51" t="s">
        <v>5</v>
      </c>
      <c r="C2" s="51" t="s">
        <v>11</v>
      </c>
      <c r="D2" s="51" t="s">
        <v>39</v>
      </c>
      <c r="E2" s="51" t="s">
        <v>40</v>
      </c>
      <c r="F2" s="51" t="s">
        <v>41</v>
      </c>
    </row>
    <row r="3" spans="2:6" x14ac:dyDescent="0.3">
      <c r="B3" s="42">
        <f>IF(Setup!$B$3:$B$324&lt;&gt;"",Setup!$B$3:$B$324,"")</f>
        <v>1001</v>
      </c>
      <c r="C3" s="46" t="str">
        <f>IF(Setup!$C$3:$C$324&lt;&gt;"",Setup!$C$3:$C$324,"")</f>
        <v xml:space="preserve">Bed </v>
      </c>
      <c r="D3" s="42">
        <f t="array" ref="D3">SUM(IF(B3=Setup!$B$3:$B$1022,Setup!$D$3:$D$1022))</f>
        <v>8</v>
      </c>
      <c r="E3" s="42">
        <f>SUMIF(Sales!A:A,Stock!B3,Sales!D:D)</f>
        <v>10</v>
      </c>
      <c r="F3" s="42">
        <f t="shared" ref="F3:F66" si="0">+D3-E3</f>
        <v>-2</v>
      </c>
    </row>
    <row r="4" spans="2:6" x14ac:dyDescent="0.3">
      <c r="B4" s="42">
        <f>IF(Setup!$B$3:$B$324&lt;&gt;"",Setup!$B$3:$B$324,"")</f>
        <v>1002</v>
      </c>
      <c r="C4" s="46" t="str">
        <f>IF(Setup!$C$3:$C$324&lt;&gt;"",Setup!$C$3:$C$324,"")</f>
        <v>Mattress</v>
      </c>
      <c r="D4" s="42">
        <f t="array" ref="D4">SUM(IF(B4=Setup!$B$3:$B$1022,Setup!$D$3:$D$1022))</f>
        <v>37</v>
      </c>
      <c r="E4" s="42">
        <f>SUMIF(Sales!A:A,Stock!B4,Sales!D:D)</f>
        <v>41</v>
      </c>
      <c r="F4" s="42">
        <f t="shared" si="0"/>
        <v>-4</v>
      </c>
    </row>
    <row r="5" spans="2:6" x14ac:dyDescent="0.3">
      <c r="B5" s="42">
        <f>IF(Setup!$B$3:$B$324&lt;&gt;"",Setup!$B$3:$B$324,"")</f>
        <v>1003</v>
      </c>
      <c r="C5" s="46" t="str">
        <f>IF(Setup!$C$3:$C$324&lt;&gt;"",Setup!$C$3:$C$324,"")</f>
        <v>Table with two drawers (Size L3'xW 2')</v>
      </c>
      <c r="D5" s="42">
        <f t="array" ref="D5">SUM(IF(B5=Setup!$B$3:$B$1022,Setup!$D$3:$D$1022))</f>
        <v>9</v>
      </c>
      <c r="E5" s="42">
        <f>SUMIF(Sales!A:A,Stock!B5,Sales!D:D)</f>
        <v>9</v>
      </c>
      <c r="F5" s="42">
        <f t="shared" si="0"/>
        <v>0</v>
      </c>
    </row>
    <row r="6" spans="2:6" x14ac:dyDescent="0.3">
      <c r="B6" s="42">
        <f>IF(Setup!$B$3:$B$324&lt;&gt;"",Setup!$B$3:$B$324,"")</f>
        <v>1004</v>
      </c>
      <c r="C6" s="46" t="str">
        <f>IF(Setup!$C$3:$C$324&lt;&gt;"",Setup!$C$3:$C$324,"")</f>
        <v>4 drawer wardrobe (Size L5'xH4'xD2')</v>
      </c>
      <c r="D6" s="42">
        <f t="array" ref="D6">SUM(IF(B6=Setup!$B$3:$B$1022,Setup!$D$3:$D$1022))</f>
        <v>4</v>
      </c>
      <c r="E6" s="42">
        <f>SUMIF(Sales!A:A,Stock!B6,Sales!D:D)</f>
        <v>5</v>
      </c>
      <c r="F6" s="42">
        <f t="shared" si="0"/>
        <v>-1</v>
      </c>
    </row>
    <row r="7" spans="2:6" x14ac:dyDescent="0.3">
      <c r="B7" s="42">
        <f>IF(Setup!$B$3:$B$324&lt;&gt;"",Setup!$B$3:$B$324,"")</f>
        <v>1005</v>
      </c>
      <c r="C7" s="46" t="str">
        <f>IF(Setup!$C$3:$C$324&lt;&gt;"",Setup!$C$3:$C$324,"")</f>
        <v>Executive table type-01 (Size-9'x4')</v>
      </c>
      <c r="D7" s="42">
        <f t="array" ref="D7">SUM(IF(B7=Setup!$B$3:$B$1022,Setup!$D$3:$D$1022))</f>
        <v>2</v>
      </c>
      <c r="E7" s="42">
        <f>SUMIF(Sales!A:A,Stock!B7,Sales!D:D)</f>
        <v>0</v>
      </c>
      <c r="F7" s="42">
        <f t="shared" si="0"/>
        <v>2</v>
      </c>
    </row>
    <row r="8" spans="2:6" x14ac:dyDescent="0.3">
      <c r="B8" s="42">
        <f>IF(Setup!$B$3:$B$324&lt;&gt;"",Setup!$B$3:$B$324,"")</f>
        <v>1006</v>
      </c>
      <c r="C8" s="46" t="str">
        <f>IF(Setup!$C$3:$C$324&lt;&gt;"",Setup!$C$3:$C$324,"")</f>
        <v>Executive table type-02 (Size-7'x4')</v>
      </c>
      <c r="D8" s="42">
        <f t="array" ref="D8">SUM(IF(B8=Setup!$B$3:$B$1022,Setup!$D$3:$D$1022))</f>
        <v>0</v>
      </c>
      <c r="E8" s="42">
        <f>SUMIF(Sales!A:A,Stock!B8,Sales!D:D)</f>
        <v>1</v>
      </c>
      <c r="F8" s="42">
        <f t="shared" si="0"/>
        <v>-1</v>
      </c>
    </row>
    <row r="9" spans="2:6" x14ac:dyDescent="0.3">
      <c r="B9" s="42">
        <f>IF(Setup!$B$3:$B$324&lt;&gt;"",Setup!$B$3:$B$324,"")</f>
        <v>1007</v>
      </c>
      <c r="C9" s="46" t="str">
        <f>IF(Setup!$C$3:$C$324&lt;&gt;"",Setup!$C$3:$C$324,"")</f>
        <v>Table (Size-5'x3')</v>
      </c>
      <c r="D9" s="42">
        <f t="array" ref="D9">SUM(IF(B9=Setup!$B$3:$B$1022,Setup!$D$3:$D$1022))</f>
        <v>1</v>
      </c>
      <c r="E9" s="42">
        <f>SUMIF(Sales!A:A,Stock!B9,Sales!D:D)</f>
        <v>3</v>
      </c>
      <c r="F9" s="42">
        <f t="shared" si="0"/>
        <v>-2</v>
      </c>
    </row>
    <row r="10" spans="2:6" x14ac:dyDescent="0.3">
      <c r="B10" s="42">
        <f>IF(Setup!$B$3:$B$324&lt;&gt;"",Setup!$B$3:$B$324,"")</f>
        <v>1008</v>
      </c>
      <c r="C10" s="46" t="str">
        <f>IF(Setup!$C$3:$C$324&lt;&gt;"",Setup!$C$3:$C$324,"")</f>
        <v>Discussion table (Size-12'x4')</v>
      </c>
      <c r="D10" s="42">
        <f t="array" ref="D10">SUM(IF(B10=Setup!$B$3:$B$1022,Setup!$D$3:$D$1022))</f>
        <v>0</v>
      </c>
      <c r="E10" s="42">
        <f>SUMIF(Sales!A:A,Stock!B10,Sales!D:D)</f>
        <v>0</v>
      </c>
      <c r="F10" s="42">
        <f t="shared" si="0"/>
        <v>0</v>
      </c>
    </row>
    <row r="11" spans="2:6" x14ac:dyDescent="0.3">
      <c r="B11" s="42">
        <f>IF(Setup!$B$3:$B$324&lt;&gt;"",Setup!$B$3:$B$324,"")</f>
        <v>1009</v>
      </c>
      <c r="C11" s="46" t="str">
        <f>IF(Setup!$C$3:$C$324&lt;&gt;"",Setup!$C$3:$C$324,"")</f>
        <v>Laminated board table for appliances (Size-L3.5'xH2.5'xD2.5')</v>
      </c>
      <c r="D11" s="42">
        <f t="array" ref="D11">SUM(IF(B11=Setup!$B$3:$B$1022,Setup!$D$3:$D$1022))</f>
        <v>0</v>
      </c>
      <c r="E11" s="42">
        <f>SUMIF(Sales!A:A,Stock!B11,Sales!D:D)</f>
        <v>0</v>
      </c>
      <c r="F11" s="42">
        <f t="shared" si="0"/>
        <v>0</v>
      </c>
    </row>
    <row r="12" spans="2:6" x14ac:dyDescent="0.3">
      <c r="B12" s="42">
        <f>IF(Setup!$B$3:$B$324&lt;&gt;"",Setup!$B$3:$B$324,"")</f>
        <v>1010</v>
      </c>
      <c r="C12" s="46" t="str">
        <f>IF(Setup!$C$3:$C$324&lt;&gt;"",Setup!$C$3:$C$324,"")</f>
        <v>Laminated board file cabinet with glass door (Size-L5'xH7'xD2')</v>
      </c>
      <c r="D12" s="42">
        <f t="array" ref="D12">SUM(IF(B12=Setup!$B$3:$B$1022,Setup!$D$3:$D$1022))</f>
        <v>5</v>
      </c>
      <c r="E12" s="42">
        <f>SUMIF(Sales!A:A,Stock!B12,Sales!D:D)</f>
        <v>6</v>
      </c>
      <c r="F12" s="42">
        <f t="shared" si="0"/>
        <v>-1</v>
      </c>
    </row>
    <row r="13" spans="2:6" x14ac:dyDescent="0.3">
      <c r="B13" s="42">
        <f>IF(Setup!$B$3:$B$324&lt;&gt;"",Setup!$B$3:$B$324,"")</f>
        <v>1011</v>
      </c>
      <c r="C13" s="46" t="str">
        <f>IF(Setup!$C$3:$C$324&lt;&gt;"",Setup!$C$3:$C$324,"")</f>
        <v>Low height cabinet (Size-L8xW2xH2.5)</v>
      </c>
      <c r="D13" s="42">
        <f t="array" ref="D13">SUM(IF(B13=Setup!$B$3:$B$1022,Setup!$D$3:$D$1022))</f>
        <v>2</v>
      </c>
      <c r="E13" s="42">
        <f>SUMIF(Sales!A:A,Stock!B13,Sales!D:D)</f>
        <v>2</v>
      </c>
      <c r="F13" s="42">
        <f t="shared" si="0"/>
        <v>0</v>
      </c>
    </row>
    <row r="14" spans="2:6" x14ac:dyDescent="0.3">
      <c r="B14" s="42">
        <f>IF(Setup!$B$3:$B$324&lt;&gt;"",Setup!$B$3:$B$324,"")</f>
        <v>1012</v>
      </c>
      <c r="C14" s="46" t="str">
        <f>IF(Setup!$C$3:$C$324&lt;&gt;"",Setup!$C$3:$C$324,"")</f>
        <v>Office chair with handle</v>
      </c>
      <c r="D14" s="42">
        <f t="array" ref="D14">SUM(IF(B14=Setup!$B$3:$B$1022,Setup!$D$3:$D$1022))</f>
        <v>8</v>
      </c>
      <c r="E14" s="42">
        <f>SUMIF(Sales!A:A,Stock!B14,Sales!D:D)</f>
        <v>6</v>
      </c>
      <c r="F14" s="42">
        <f t="shared" si="0"/>
        <v>2</v>
      </c>
    </row>
    <row r="15" spans="2:6" x14ac:dyDescent="0.3">
      <c r="B15" s="42">
        <f>IF(Setup!$B$3:$B$324&lt;&gt;"",Setup!$B$3:$B$324,"")</f>
        <v>1013</v>
      </c>
      <c r="C15" s="46" t="str">
        <f>IF(Setup!$C$3:$C$324&lt;&gt;"",Setup!$C$3:$C$324,"")</f>
        <v>Steel chair without handle</v>
      </c>
      <c r="D15" s="42">
        <f t="array" ref="D15">SUM(IF(B15=Setup!$B$3:$B$1022,Setup!$D$3:$D$1022))</f>
        <v>14</v>
      </c>
      <c r="E15" s="42">
        <f>SUMIF(Sales!A:A,Stock!B15,Sales!D:D)</f>
        <v>13</v>
      </c>
      <c r="F15" s="42">
        <f t="shared" si="0"/>
        <v>1</v>
      </c>
    </row>
    <row r="16" spans="2:6" x14ac:dyDescent="0.3">
      <c r="B16" s="42">
        <f>IF(Setup!$B$3:$B$324&lt;&gt;"",Setup!$B$3:$B$324,"")</f>
        <v>1014</v>
      </c>
      <c r="C16" s="46" t="str">
        <f>IF(Setup!$C$3:$C$324&lt;&gt;"",Setup!$C$3:$C$324,"")</f>
        <v>Dining table (Size-10'x3')</v>
      </c>
      <c r="D16" s="42">
        <f t="array" ref="D16">SUM(IF(B16=Setup!$B$3:$B$1022,Setup!$D$3:$D$1022))</f>
        <v>0</v>
      </c>
      <c r="E16" s="42">
        <f>SUMIF(Sales!A:A,Stock!B16,Sales!D:D)</f>
        <v>0</v>
      </c>
      <c r="F16" s="42">
        <f t="shared" si="0"/>
        <v>0</v>
      </c>
    </row>
    <row r="17" spans="2:6" x14ac:dyDescent="0.3">
      <c r="B17" s="42">
        <f>IF(Setup!$B$3:$B$324&lt;&gt;"",Setup!$B$3:$B$324,"")</f>
        <v>1015</v>
      </c>
      <c r="C17" s="46" t="str">
        <f>IF(Setup!$C$3:$C$324&lt;&gt;"",Setup!$C$3:$C$324,"")</f>
        <v xml:space="preserve">Single sofa </v>
      </c>
      <c r="D17" s="42">
        <f t="array" ref="D17">SUM(IF(B17=Setup!$B$3:$B$1022,Setup!$D$3:$D$1022))</f>
        <v>2</v>
      </c>
      <c r="E17" s="42">
        <f>SUMIF(Sales!A:A,Stock!B17,Sales!D:D)</f>
        <v>0</v>
      </c>
      <c r="F17" s="42">
        <f t="shared" si="0"/>
        <v>2</v>
      </c>
    </row>
    <row r="18" spans="2:6" x14ac:dyDescent="0.3">
      <c r="B18" s="42">
        <f>IF(Setup!$B$3:$B$324&lt;&gt;"",Setup!$B$3:$B$324,"")</f>
        <v>1016</v>
      </c>
      <c r="C18" s="46" t="str">
        <f>IF(Setup!$C$3:$C$324&lt;&gt;"",Setup!$C$3:$C$324,"")</f>
        <v>Table for iron (8'x4')</v>
      </c>
      <c r="D18" s="42">
        <f t="array" ref="D18">SUM(IF(B18=Setup!$B$3:$B$1022,Setup!$D$3:$D$1022))</f>
        <v>0</v>
      </c>
      <c r="E18" s="42">
        <f>SUMIF(Sales!A:A,Stock!B18,Sales!D:D)</f>
        <v>0</v>
      </c>
      <c r="F18" s="42">
        <f t="shared" si="0"/>
        <v>0</v>
      </c>
    </row>
    <row r="19" spans="2:6" x14ac:dyDescent="0.3">
      <c r="B19" s="42">
        <f>IF(Setup!$B$3:$B$324&lt;&gt;"",Setup!$B$3:$B$324,"")</f>
        <v>1017</v>
      </c>
      <c r="C19" s="46" t="str">
        <f>IF(Setup!$C$3:$C$324&lt;&gt;"",Setup!$C$3:$C$324,"")</f>
        <v>Cloth cabinet (Size-6'x6') for landury</v>
      </c>
      <c r="D19" s="42">
        <f t="array" ref="D19">SUM(IF(B19=Setup!$B$3:$B$1022,Setup!$D$3:$D$1022))</f>
        <v>0</v>
      </c>
      <c r="E19" s="42">
        <f>SUMIF(Sales!A:A,Stock!B19,Sales!D:D)</f>
        <v>0</v>
      </c>
      <c r="F19" s="42">
        <f t="shared" si="0"/>
        <v>0</v>
      </c>
    </row>
    <row r="20" spans="2:6" x14ac:dyDescent="0.3">
      <c r="B20" s="42">
        <f>IF(Setup!$B$3:$B$324&lt;&gt;"",Setup!$B$3:$B$324,"")</f>
        <v>1018</v>
      </c>
      <c r="C20" s="46" t="str">
        <f>IF(Setup!$C$3:$C$324&lt;&gt;"",Setup!$C$3:$C$324,"")</f>
        <v xml:space="preserve">Table for sample collection &amp; ART field test (Size-3'x2.5') </v>
      </c>
      <c r="D20" s="42">
        <f t="array" ref="D20">SUM(IF(B20=Setup!$B$3:$B$1022,Setup!$D$3:$D$1022))</f>
        <v>3</v>
      </c>
      <c r="E20" s="42">
        <f>SUMIF(Sales!A:A,Stock!B20,Sales!D:D)</f>
        <v>3</v>
      </c>
      <c r="F20" s="42">
        <f t="shared" si="0"/>
        <v>0</v>
      </c>
    </row>
    <row r="21" spans="2:6" x14ac:dyDescent="0.3">
      <c r="B21" s="42">
        <f>IF(Setup!$B$3:$B$324&lt;&gt;"",Setup!$B$3:$B$324,"")</f>
        <v>1019</v>
      </c>
      <c r="C21" s="46" t="str">
        <f>IF(Setup!$C$3:$C$324&lt;&gt;"",Setup!$C$3:$C$324,"")</f>
        <v>Food Table (Size-1.5'x1.5')</v>
      </c>
      <c r="D21" s="42">
        <f t="array" ref="D21">SUM(IF(B21=Setup!$B$3:$B$1022,Setup!$D$3:$D$1022))</f>
        <v>1</v>
      </c>
      <c r="E21" s="42">
        <f>SUMIF(Sales!A:A,Stock!B21,Sales!D:D)</f>
        <v>1</v>
      </c>
      <c r="F21" s="42">
        <f t="shared" si="0"/>
        <v>0</v>
      </c>
    </row>
    <row r="22" spans="2:6" x14ac:dyDescent="0.3">
      <c r="B22" s="42">
        <f>IF(Setup!$B$3:$B$324&lt;&gt;"",Setup!$B$3:$B$324,"")</f>
        <v>1020</v>
      </c>
      <c r="C22" s="46" t="str">
        <f>IF(Setup!$C$3:$C$324&lt;&gt;"",Setup!$C$3:$C$324,"")</f>
        <v>Dress cabinet for donning (Size H6'xW10'xD1.5')</v>
      </c>
      <c r="D22" s="42">
        <f t="array" ref="D22">SUM(IF(B22=Setup!$B$3:$B$1022,Setup!$D$3:$D$1022))</f>
        <v>0</v>
      </c>
      <c r="E22" s="42">
        <f>SUMIF(Sales!A:A,Stock!B22,Sales!D:D)</f>
        <v>1</v>
      </c>
      <c r="F22" s="42">
        <f t="shared" si="0"/>
        <v>-1</v>
      </c>
    </row>
    <row r="23" spans="2:6" x14ac:dyDescent="0.3">
      <c r="B23" s="42">
        <f>IF(Setup!$B$3:$B$324&lt;&gt;"",Setup!$B$3:$B$324,"")</f>
        <v>1021</v>
      </c>
      <c r="C23" s="46" t="str">
        <f>IF(Setup!$C$3:$C$324&lt;&gt;"",Setup!$C$3:$C$324,"")</f>
        <v>Plastic chair with handle</v>
      </c>
      <c r="D23" s="42">
        <f t="array" ref="D23">SUM(IF(B23=Setup!$B$3:$B$1022,Setup!$D$3:$D$1022))</f>
        <v>208</v>
      </c>
      <c r="E23" s="42">
        <f>SUMIF(Sales!A:A,Stock!B23,Sales!D:D)</f>
        <v>257</v>
      </c>
      <c r="F23" s="42">
        <f t="shared" si="0"/>
        <v>-49</v>
      </c>
    </row>
    <row r="24" spans="2:6" x14ac:dyDescent="0.3">
      <c r="B24" s="42">
        <f>IF(Setup!$B$3:$B$324&lt;&gt;"",Setup!$B$3:$B$324,"")</f>
        <v>1022</v>
      </c>
      <c r="C24" s="46" t="str">
        <f>IF(Setup!$C$3:$C$324&lt;&gt;"",Setup!$C$3:$C$324,"")</f>
        <v>Garments hanger rack (Type-1)</v>
      </c>
      <c r="D24" s="42">
        <f t="array" ref="D24">SUM(IF(B24=Setup!$B$3:$B$1022,Setup!$D$3:$D$1022))</f>
        <v>8</v>
      </c>
      <c r="E24" s="42">
        <f>SUMIF(Sales!A:A,Stock!B24,Sales!D:D)</f>
        <v>7</v>
      </c>
      <c r="F24" s="42">
        <f t="shared" si="0"/>
        <v>1</v>
      </c>
    </row>
    <row r="25" spans="2:6" x14ac:dyDescent="0.3">
      <c r="B25" s="42">
        <f>IF(Setup!$B$3:$B$324&lt;&gt;"",Setup!$B$3:$B$324,"")</f>
        <v>1023</v>
      </c>
      <c r="C25" s="46" t="str">
        <f>IF(Setup!$C$3:$C$324&lt;&gt;"",Setup!$C$3:$C$324,"")</f>
        <v>Garments hanger rack (Type-2)</v>
      </c>
      <c r="D25" s="42">
        <f t="array" ref="D25">SUM(IF(B25=Setup!$B$3:$B$1022,Setup!$D$3:$D$1022))</f>
        <v>0</v>
      </c>
      <c r="E25" s="42">
        <f>SUMIF(Sales!A:A,Stock!B25,Sales!D:D)</f>
        <v>1</v>
      </c>
      <c r="F25" s="42">
        <f t="shared" si="0"/>
        <v>-1</v>
      </c>
    </row>
    <row r="26" spans="2:6" x14ac:dyDescent="0.3">
      <c r="B26" s="42">
        <f>IF(Setup!$B$3:$B$324&lt;&gt;"",Setup!$B$3:$B$324,"")</f>
        <v>1024</v>
      </c>
      <c r="C26" s="46" t="str">
        <f>IF(Setup!$C$3:$C$324&lt;&gt;"",Setup!$C$3:$C$324,"")</f>
        <v>Bed sheet (Used)</v>
      </c>
      <c r="D26" s="42">
        <f t="array" ref="D26">SUM(IF(B26=Setup!$B$3:$B$1022,Setup!$D$3:$D$1022))</f>
        <v>12</v>
      </c>
      <c r="E26" s="42">
        <f>SUMIF(Sales!A:A,Stock!B26,Sales!D:D)</f>
        <v>5</v>
      </c>
      <c r="F26" s="42">
        <f t="shared" si="0"/>
        <v>7</v>
      </c>
    </row>
    <row r="27" spans="2:6" x14ac:dyDescent="0.3">
      <c r="B27" s="42">
        <f>IF(Setup!$B$3:$B$324&lt;&gt;"",Setup!$B$3:$B$324,"")</f>
        <v>1025</v>
      </c>
      <c r="C27" s="46" t="str">
        <f>IF(Setup!$C$3:$C$324&lt;&gt;"",Setup!$C$3:$C$324,"")</f>
        <v>Bed sheet (New)</v>
      </c>
      <c r="D27" s="42">
        <f t="array" ref="D27">SUM(IF(B27=Setup!$B$3:$B$1022,Setup!$D$3:$D$1022))</f>
        <v>2</v>
      </c>
      <c r="E27" s="42">
        <f>SUMIF(Sales!A:A,Stock!B27,Sales!D:D)</f>
        <v>3</v>
      </c>
      <c r="F27" s="42">
        <f t="shared" si="0"/>
        <v>-1</v>
      </c>
    </row>
    <row r="28" spans="2:6" x14ac:dyDescent="0.3">
      <c r="B28" s="42">
        <f>IF(Setup!$B$3:$B$324&lt;&gt;"",Setup!$B$3:$B$324,"")</f>
        <v>1026</v>
      </c>
      <c r="C28" s="46" t="str">
        <f>IF(Setup!$C$3:$C$324&lt;&gt;"",Setup!$C$3:$C$324,"")</f>
        <v>Pillow</v>
      </c>
      <c r="D28" s="42">
        <f t="array" ref="D28">SUM(IF(B28=Setup!$B$3:$B$1022,Setup!$D$3:$D$1022))</f>
        <v>115</v>
      </c>
      <c r="E28" s="42">
        <f>SUMIF(Sales!A:A,Stock!B28,Sales!D:D)</f>
        <v>119</v>
      </c>
      <c r="F28" s="42">
        <f t="shared" si="0"/>
        <v>-4</v>
      </c>
    </row>
    <row r="29" spans="2:6" x14ac:dyDescent="0.3">
      <c r="B29" s="42">
        <f>IF(Setup!$B$3:$B$324&lt;&gt;"",Setup!$B$3:$B$324,"")</f>
        <v>1027</v>
      </c>
      <c r="C29" s="46" t="str">
        <f>IF(Setup!$C$3:$C$324&lt;&gt;"",Setup!$C$3:$C$324,"")</f>
        <v>Pillow cover (Used)</v>
      </c>
      <c r="D29" s="42">
        <f t="array" ref="D29">SUM(IF(B29=Setup!$B$3:$B$1022,Setup!$D$3:$D$1022))</f>
        <v>85</v>
      </c>
      <c r="E29" s="42">
        <f>SUMIF(Sales!A:A,Stock!B29,Sales!D:D)</f>
        <v>58</v>
      </c>
      <c r="F29" s="42">
        <f t="shared" si="0"/>
        <v>27</v>
      </c>
    </row>
    <row r="30" spans="2:6" x14ac:dyDescent="0.3">
      <c r="B30" s="42">
        <f>IF(Setup!$B$3:$B$324&lt;&gt;"",Setup!$B$3:$B$324,"")</f>
        <v>1028</v>
      </c>
      <c r="C30" s="46" t="str">
        <f>IF(Setup!$C$3:$C$324&lt;&gt;"",Setup!$C$3:$C$324,"")</f>
        <v>Pillow cover (New)</v>
      </c>
      <c r="D30" s="42">
        <f t="array" ref="D30">SUM(IF(B30=Setup!$B$3:$B$1022,Setup!$D$3:$D$1022))</f>
        <v>3</v>
      </c>
      <c r="E30" s="42">
        <f>SUMIF(Sales!A:A,Stock!B30,Sales!D:D)</f>
        <v>3</v>
      </c>
      <c r="F30" s="42">
        <f t="shared" si="0"/>
        <v>0</v>
      </c>
    </row>
    <row r="31" spans="2:6" x14ac:dyDescent="0.3">
      <c r="B31" s="42">
        <f>IF(Setup!$B$3:$B$324&lt;&gt;"",Setup!$B$3:$B$324,"")</f>
        <v>1029</v>
      </c>
      <c r="C31" s="46" t="str">
        <f>IF(Setup!$C$3:$C$324&lt;&gt;"",Setup!$C$3:$C$324,"")</f>
        <v>Mosquito net</v>
      </c>
      <c r="D31" s="42">
        <f t="array" ref="D31">SUM(IF(B31=Setup!$B$3:$B$1022,Setup!$D$3:$D$1022))</f>
        <v>35</v>
      </c>
      <c r="E31" s="42">
        <f>SUMIF(Sales!A:A,Stock!B31,Sales!D:D)</f>
        <v>29</v>
      </c>
      <c r="F31" s="42">
        <f t="shared" si="0"/>
        <v>6</v>
      </c>
    </row>
    <row r="32" spans="2:6" x14ac:dyDescent="0.3">
      <c r="B32" s="42">
        <f>IF(Setup!$B$3:$B$324&lt;&gt;"",Setup!$B$3:$B$324,"")</f>
        <v>1030</v>
      </c>
      <c r="C32" s="46" t="str">
        <f>IF(Setup!$C$3:$C$324&lt;&gt;"",Setup!$C$3:$C$324,"")</f>
        <v>Window curtain-1</v>
      </c>
      <c r="D32" s="42">
        <f t="array" ref="D32">SUM(IF(B32=Setup!$B$3:$B$1022,Setup!$D$3:$D$1022))</f>
        <v>1500</v>
      </c>
      <c r="E32" s="42">
        <f>SUMIF(Sales!A:A,Stock!B32,Sales!D:D)</f>
        <v>1489</v>
      </c>
      <c r="F32" s="42">
        <f t="shared" si="0"/>
        <v>11</v>
      </c>
    </row>
    <row r="33" spans="2:6" x14ac:dyDescent="0.3">
      <c r="B33" s="42">
        <f>IF(Setup!$B$3:$B$324&lt;&gt;"",Setup!$B$3:$B$324,"")</f>
        <v>1031</v>
      </c>
      <c r="C33" s="46" t="str">
        <f>IF(Setup!$C$3:$C$324&lt;&gt;"",Setup!$C$3:$C$324,"")</f>
        <v>Window curtain-2</v>
      </c>
      <c r="D33" s="42">
        <f t="array" ref="D33">SUM(IF(B33=Setup!$B$3:$B$1022,Setup!$D$3:$D$1022))</f>
        <v>15</v>
      </c>
      <c r="E33" s="42">
        <f>SUMIF(Sales!A:A,Stock!B33,Sales!D:D)</f>
        <v>184</v>
      </c>
      <c r="F33" s="42">
        <f t="shared" si="0"/>
        <v>-169</v>
      </c>
    </row>
    <row r="34" spans="2:6" x14ac:dyDescent="0.3">
      <c r="B34" s="42">
        <f>IF(Setup!$B$3:$B$324&lt;&gt;"",Setup!$B$3:$B$324,"")</f>
        <v>1032</v>
      </c>
      <c r="C34" s="46" t="str">
        <f>IF(Setup!$C$3:$C$324&lt;&gt;"",Setup!$C$3:$C$324,"")</f>
        <v>Vertical blinds ((Each Size-9'x7')</v>
      </c>
      <c r="D34" s="42">
        <f t="array" ref="D34">SUM(IF(B34=Setup!$B$3:$B$1022,Setup!$D$3:$D$1022))</f>
        <v>0</v>
      </c>
      <c r="E34" s="42">
        <f>SUMIF(Sales!A:A,Stock!B34,Sales!D:D)</f>
        <v>0</v>
      </c>
      <c r="F34" s="42">
        <f t="shared" si="0"/>
        <v>0</v>
      </c>
    </row>
    <row r="35" spans="2:6" x14ac:dyDescent="0.3">
      <c r="B35" s="42">
        <f>IF(Setup!$B$3:$B$324&lt;&gt;"",Setup!$B$3:$B$324,"")</f>
        <v>1033</v>
      </c>
      <c r="C35" s="46" t="str">
        <f>IF(Setup!$C$3:$C$324&lt;&gt;"",Setup!$C$3:$C$324,"")</f>
        <v>Blanket</v>
      </c>
      <c r="D35" s="42">
        <f t="array" ref="D35">SUM(IF(B35=Setup!$B$3:$B$1022,Setup!$D$3:$D$1022))</f>
        <v>38</v>
      </c>
      <c r="E35" s="42">
        <f>SUMIF(Sales!A:A,Stock!B35,Sales!D:D)</f>
        <v>36</v>
      </c>
      <c r="F35" s="42">
        <f t="shared" si="0"/>
        <v>2</v>
      </c>
    </row>
    <row r="36" spans="2:6" x14ac:dyDescent="0.3">
      <c r="B36" s="42">
        <f>IF(Setup!$B$3:$B$324&lt;&gt;"",Setup!$B$3:$B$324,"")</f>
        <v>1034</v>
      </c>
      <c r="C36" s="46" t="str">
        <f>IF(Setup!$C$3:$C$324&lt;&gt;"",Setup!$C$3:$C$324,"")</f>
        <v>Blanket  Cover</v>
      </c>
      <c r="D36" s="42">
        <f t="array" ref="D36">SUM(IF(B36=Setup!$B$3:$B$1022,Setup!$D$3:$D$1022))</f>
        <v>36</v>
      </c>
      <c r="E36" s="42">
        <f>SUMIF(Sales!A:A,Stock!B36,Sales!D:D)</f>
        <v>26</v>
      </c>
      <c r="F36" s="42">
        <f t="shared" si="0"/>
        <v>10</v>
      </c>
    </row>
    <row r="37" spans="2:6" x14ac:dyDescent="0.3">
      <c r="B37" s="42">
        <f>IF(Setup!$B$3:$B$324&lt;&gt;"",Setup!$B$3:$B$324,"")</f>
        <v>1035</v>
      </c>
      <c r="C37" s="46" t="str">
        <f>IF(Setup!$C$3:$C$324&lt;&gt;"",Setup!$C$3:$C$324,"")</f>
        <v>Water jug</v>
      </c>
      <c r="D37" s="42">
        <f t="array" ref="D37">SUM(IF(B37=Setup!$B$3:$B$1022,Setup!$D$3:$D$1022))</f>
        <v>16</v>
      </c>
      <c r="E37" s="42">
        <f>SUMIF(Sales!A:A,Stock!B37,Sales!D:D)</f>
        <v>16</v>
      </c>
      <c r="F37" s="42">
        <f t="shared" si="0"/>
        <v>0</v>
      </c>
    </row>
    <row r="38" spans="2:6" x14ac:dyDescent="0.3">
      <c r="B38" s="42">
        <f>IF(Setup!$B$3:$B$324&lt;&gt;"",Setup!$B$3:$B$324,"")</f>
        <v>1036</v>
      </c>
      <c r="C38" s="46" t="str">
        <f>IF(Setup!$C$3:$C$324&lt;&gt;"",Setup!$C$3:$C$324,"")</f>
        <v>Drinking glass</v>
      </c>
      <c r="D38" s="42">
        <f t="array" ref="D38">SUM(IF(B38=Setup!$B$3:$B$1022,Setup!$D$3:$D$1022))</f>
        <v>74</v>
      </c>
      <c r="E38" s="42">
        <f>SUMIF(Sales!A:A,Stock!B38,Sales!D:D)</f>
        <v>85</v>
      </c>
      <c r="F38" s="42">
        <f t="shared" si="0"/>
        <v>-11</v>
      </c>
    </row>
    <row r="39" spans="2:6" x14ac:dyDescent="0.3">
      <c r="B39" s="42">
        <f>IF(Setup!$B$3:$B$324&lt;&gt;"",Setup!$B$3:$B$324,"")</f>
        <v>1037</v>
      </c>
      <c r="C39" s="46" t="str">
        <f>IF(Setup!$C$3:$C$324&lt;&gt;"",Setup!$C$3:$C$324,"")</f>
        <v>Tea Cup with plate</v>
      </c>
      <c r="D39" s="42">
        <f t="array" ref="D39">SUM(IF(B39=Setup!$B$3:$B$1022,Setup!$D$3:$D$1022))</f>
        <v>60</v>
      </c>
      <c r="E39" s="42">
        <f>SUMIF(Sales!A:A,Stock!B39,Sales!D:D)</f>
        <v>51</v>
      </c>
      <c r="F39" s="42">
        <f t="shared" si="0"/>
        <v>9</v>
      </c>
    </row>
    <row r="40" spans="2:6" x14ac:dyDescent="0.3">
      <c r="B40" s="42">
        <f>IF(Setup!$B$3:$B$324&lt;&gt;"",Setup!$B$3:$B$324,"")</f>
        <v>1038</v>
      </c>
      <c r="C40" s="46" t="str">
        <f>IF(Setup!$C$3:$C$324&lt;&gt;"",Setup!$C$3:$C$324,"")</f>
        <v>Tea spoon</v>
      </c>
      <c r="D40" s="42">
        <f t="array" ref="D40">SUM(IF(B40=Setup!$B$3:$B$1022,Setup!$D$3:$D$1022))</f>
        <v>15</v>
      </c>
      <c r="E40" s="42">
        <f>SUMIF(Sales!A:A,Stock!B40,Sales!D:D)</f>
        <v>15</v>
      </c>
      <c r="F40" s="42">
        <f t="shared" si="0"/>
        <v>0</v>
      </c>
    </row>
    <row r="41" spans="2:6" x14ac:dyDescent="0.3">
      <c r="B41" s="42">
        <f>IF(Setup!$B$3:$B$324&lt;&gt;"",Setup!$B$3:$B$324,"")</f>
        <v>1039</v>
      </c>
      <c r="C41" s="46" t="str">
        <f>IF(Setup!$C$3:$C$324&lt;&gt;"",Setup!$C$3:$C$324,"")</f>
        <v>Curry spoon</v>
      </c>
      <c r="D41" s="42">
        <f t="array" ref="D41">SUM(IF(B41=Setup!$B$3:$B$1022,Setup!$D$3:$D$1022))</f>
        <v>5</v>
      </c>
      <c r="E41" s="42">
        <f>SUMIF(Sales!A:A,Stock!B41,Sales!D:D)</f>
        <v>5</v>
      </c>
      <c r="F41" s="42">
        <f t="shared" si="0"/>
        <v>0</v>
      </c>
    </row>
    <row r="42" spans="2:6" x14ac:dyDescent="0.3">
      <c r="B42" s="42">
        <f>IF(Setup!$B$3:$B$324&lt;&gt;"",Setup!$B$3:$B$324,"")</f>
        <v>1040</v>
      </c>
      <c r="C42" s="46" t="str">
        <f>IF(Setup!$C$3:$C$324&lt;&gt;"",Setup!$C$3:$C$324,"")</f>
        <v>Rice plate (Malamine)</v>
      </c>
      <c r="D42" s="42">
        <f t="array" ref="D42">SUM(IF(B42=Setup!$B$3:$B$1022,Setup!$D$3:$D$1022))</f>
        <v>180</v>
      </c>
      <c r="E42" s="42">
        <f>SUMIF(Sales!A:A,Stock!B42,Sales!D:D)</f>
        <v>177</v>
      </c>
      <c r="F42" s="42">
        <f t="shared" si="0"/>
        <v>3</v>
      </c>
    </row>
    <row r="43" spans="2:6" x14ac:dyDescent="0.3">
      <c r="B43" s="42">
        <f>IF(Setup!$B$3:$B$324&lt;&gt;"",Setup!$B$3:$B$324,"")</f>
        <v>1041</v>
      </c>
      <c r="C43" s="46" t="str">
        <f>IF(Setup!$C$3:$C$324&lt;&gt;"",Setup!$C$3:$C$324,"")</f>
        <v>Rice dish</v>
      </c>
      <c r="D43" s="42">
        <f t="array" ref="D43">SUM(IF(B43=Setup!$B$3:$B$1022,Setup!$D$3:$D$1022))</f>
        <v>0</v>
      </c>
      <c r="E43" s="42">
        <f>SUMIF(Sales!A:A,Stock!B43,Sales!D:D)</f>
        <v>2</v>
      </c>
      <c r="F43" s="42">
        <f t="shared" si="0"/>
        <v>-2</v>
      </c>
    </row>
    <row r="44" spans="2:6" x14ac:dyDescent="0.3">
      <c r="B44" s="42">
        <f>IF(Setup!$B$3:$B$324&lt;&gt;"",Setup!$B$3:$B$324,"")</f>
        <v>1042</v>
      </c>
      <c r="C44" s="46" t="str">
        <f>IF(Setup!$C$3:$C$324&lt;&gt;"",Setup!$C$3:$C$324,"")</f>
        <v>Curry dish</v>
      </c>
      <c r="D44" s="42">
        <f t="array" ref="D44">SUM(IF(B44=Setup!$B$3:$B$1022,Setup!$D$3:$D$1022))</f>
        <v>0</v>
      </c>
      <c r="E44" s="42">
        <f>SUMIF(Sales!A:A,Stock!B44,Sales!D:D)</f>
        <v>0</v>
      </c>
      <c r="F44" s="42">
        <f t="shared" si="0"/>
        <v>0</v>
      </c>
    </row>
    <row r="45" spans="2:6" x14ac:dyDescent="0.3">
      <c r="B45" s="42">
        <f>IF(Setup!$B$3:$B$324&lt;&gt;"",Setup!$B$3:$B$324,"")</f>
        <v>1043</v>
      </c>
      <c r="C45" s="46" t="str">
        <f>IF(Setup!$C$3:$C$324&lt;&gt;"",Setup!$C$3:$C$324,"")</f>
        <v>Quarter plate</v>
      </c>
      <c r="D45" s="42">
        <f t="array" ref="D45">SUM(IF(B45=Setup!$B$3:$B$1022,Setup!$D$3:$D$1022))</f>
        <v>6</v>
      </c>
      <c r="E45" s="42">
        <f>SUMIF(Sales!A:A,Stock!B45,Sales!D:D)</f>
        <v>6</v>
      </c>
      <c r="F45" s="42">
        <f t="shared" si="0"/>
        <v>0</v>
      </c>
    </row>
    <row r="46" spans="2:6" x14ac:dyDescent="0.3">
      <c r="B46" s="42">
        <f>IF(Setup!$B$3:$B$324&lt;&gt;"",Setup!$B$3:$B$324,"")</f>
        <v>1044</v>
      </c>
      <c r="C46" s="46" t="str">
        <f>IF(Setup!$C$3:$C$324&lt;&gt;"",Setup!$C$3:$C$324,"")</f>
        <v>Rice spoon</v>
      </c>
      <c r="D46" s="42">
        <f t="array" ref="D46">SUM(IF(B46=Setup!$B$3:$B$1022,Setup!$D$3:$D$1022))</f>
        <v>0</v>
      </c>
      <c r="E46" s="42">
        <f>SUMIF(Sales!A:A,Stock!B46,Sales!D:D)</f>
        <v>2</v>
      </c>
      <c r="F46" s="42">
        <f t="shared" si="0"/>
        <v>-2</v>
      </c>
    </row>
    <row r="47" spans="2:6" x14ac:dyDescent="0.3">
      <c r="B47" s="42">
        <f>IF(Setup!$B$3:$B$324&lt;&gt;"",Setup!$B$3:$B$324,"")</f>
        <v>1045</v>
      </c>
      <c r="C47" s="46" t="str">
        <f>IF(Setup!$C$3:$C$324&lt;&gt;"",Setup!$C$3:$C$324,"")</f>
        <v>Curry spoon (SS)</v>
      </c>
      <c r="D47" s="42">
        <f t="array" ref="D47">SUM(IF(B47=Setup!$B$3:$B$1022,Setup!$D$3:$D$1022))</f>
        <v>0</v>
      </c>
      <c r="E47" s="42">
        <f>SUMIF(Sales!A:A,Stock!B47,Sales!D:D)</f>
        <v>2</v>
      </c>
      <c r="F47" s="42">
        <f t="shared" si="0"/>
        <v>-2</v>
      </c>
    </row>
    <row r="48" spans="2:6" x14ac:dyDescent="0.3">
      <c r="B48" s="42">
        <f>IF(Setup!$B$3:$B$324&lt;&gt;"",Setup!$B$3:$B$324,"")</f>
        <v>1046</v>
      </c>
      <c r="C48" s="46" t="str">
        <f>IF(Setup!$C$3:$C$324&lt;&gt;"",Setup!$C$3:$C$324,"")</f>
        <v>Milk pot</v>
      </c>
      <c r="D48" s="42">
        <f t="array" ref="D48">SUM(IF(B48=Setup!$B$3:$B$1022,Setup!$D$3:$D$1022))</f>
        <v>7</v>
      </c>
      <c r="E48" s="42">
        <f>SUMIF(Sales!A:A,Stock!B48,Sales!D:D)</f>
        <v>12</v>
      </c>
      <c r="F48" s="42">
        <f t="shared" si="0"/>
        <v>-5</v>
      </c>
    </row>
    <row r="49" spans="2:6" x14ac:dyDescent="0.3">
      <c r="B49" s="42">
        <f>IF(Setup!$B$3:$B$324&lt;&gt;"",Setup!$B$3:$B$324,"")</f>
        <v>1047</v>
      </c>
      <c r="C49" s="46" t="str">
        <f>IF(Setup!$C$3:$C$324&lt;&gt;"",Setup!$C$3:$C$324,"")</f>
        <v>Sugar pot</v>
      </c>
      <c r="D49" s="42">
        <f t="array" ref="D49">SUM(IF(B49=Setup!$B$3:$B$1022,Setup!$D$3:$D$1022))</f>
        <v>5</v>
      </c>
      <c r="E49" s="42">
        <f>SUMIF(Sales!A:A,Stock!B49,Sales!D:D)</f>
        <v>12</v>
      </c>
      <c r="F49" s="42">
        <f t="shared" si="0"/>
        <v>-7</v>
      </c>
    </row>
    <row r="50" spans="2:6" x14ac:dyDescent="0.3">
      <c r="B50" s="42">
        <f>IF(Setup!$B$3:$B$324&lt;&gt;"",Setup!$B$3:$B$324,"")</f>
        <v>1048</v>
      </c>
      <c r="C50" s="46" t="str">
        <f>IF(Setup!$C$3:$C$324&lt;&gt;"",Setup!$C$3:$C$324,"")</f>
        <v>Hot box tiffin carrier</v>
      </c>
      <c r="D50" s="42">
        <f t="array" ref="D50">SUM(IF(B50=Setup!$B$3:$B$1022,Setup!$D$3:$D$1022))</f>
        <v>8</v>
      </c>
      <c r="E50" s="42">
        <f>SUMIF(Sales!A:A,Stock!B50,Sales!D:D)</f>
        <v>14</v>
      </c>
      <c r="F50" s="42">
        <f t="shared" si="0"/>
        <v>-6</v>
      </c>
    </row>
    <row r="51" spans="2:6" x14ac:dyDescent="0.3">
      <c r="B51" s="42">
        <f>IF(Setup!$B$3:$B$324&lt;&gt;"",Setup!$B$3:$B$324,"")</f>
        <v>1049</v>
      </c>
      <c r="C51" s="46" t="str">
        <f>IF(Setup!$C$3:$C$324&lt;&gt;"",Setup!$C$3:$C$324,"")</f>
        <v>Water heater</v>
      </c>
      <c r="D51" s="42">
        <f t="array" ref="D51">SUM(IF(B51=Setup!$B$3:$B$1022,Setup!$D$3:$D$1022))</f>
        <v>28</v>
      </c>
      <c r="E51" s="42">
        <f>SUMIF(Sales!A:A,Stock!B51,Sales!D:D)</f>
        <v>33</v>
      </c>
      <c r="F51" s="42">
        <f t="shared" si="0"/>
        <v>-5</v>
      </c>
    </row>
    <row r="52" spans="2:6" x14ac:dyDescent="0.3">
      <c r="B52" s="42">
        <f>IF(Setup!$B$3:$B$324&lt;&gt;"",Setup!$B$3:$B$324,"")</f>
        <v>1050</v>
      </c>
      <c r="C52" s="46" t="str">
        <f>IF(Setup!$C$3:$C$324&lt;&gt;"",Setup!$C$3:$C$324,"")</f>
        <v>Bucket for Toilet</v>
      </c>
      <c r="D52" s="42">
        <f t="array" ref="D52">SUM(IF(B52=Setup!$B$3:$B$1022,Setup!$D$3:$D$1022))</f>
        <v>26</v>
      </c>
      <c r="E52" s="42">
        <f>SUMIF(Sales!A:A,Stock!B52,Sales!D:D)</f>
        <v>20</v>
      </c>
      <c r="F52" s="42">
        <f t="shared" si="0"/>
        <v>6</v>
      </c>
    </row>
    <row r="53" spans="2:6" x14ac:dyDescent="0.3">
      <c r="B53" s="42">
        <f>IF(Setup!$B$3:$B$324&lt;&gt;"",Setup!$B$3:$B$324,"")</f>
        <v>1051</v>
      </c>
      <c r="C53" s="46" t="str">
        <f>IF(Setup!$C$3:$C$324&lt;&gt;"",Setup!$C$3:$C$324,"")</f>
        <v>Mug for Toilet</v>
      </c>
      <c r="D53" s="42">
        <f t="array" ref="D53">SUM(IF(B53=Setup!$B$3:$B$1022,Setup!$D$3:$D$1022))</f>
        <v>9</v>
      </c>
      <c r="E53" s="42">
        <f>SUMIF(Sales!A:A,Stock!B53,Sales!D:D)</f>
        <v>8</v>
      </c>
      <c r="F53" s="42">
        <f t="shared" si="0"/>
        <v>1</v>
      </c>
    </row>
    <row r="54" spans="2:6" x14ac:dyDescent="0.3">
      <c r="B54" s="42">
        <f>IF(Setup!$B$3:$B$324&lt;&gt;"",Setup!$B$3:$B$324,"")</f>
        <v>1052</v>
      </c>
      <c r="C54" s="46" t="str">
        <f>IF(Setup!$C$3:$C$324&lt;&gt;"",Setup!$C$3:$C$324,"")</f>
        <v>Cloth hanging clip</v>
      </c>
      <c r="D54" s="42">
        <f t="array" ref="D54">SUM(IF(B54=Setup!$B$3:$B$1022,Setup!$D$3:$D$1022))</f>
        <v>0</v>
      </c>
      <c r="E54" s="42">
        <f>SUMIF(Sales!A:A,Stock!B54,Sales!D:D)</f>
        <v>20</v>
      </c>
      <c r="F54" s="42">
        <f t="shared" si="0"/>
        <v>-20</v>
      </c>
    </row>
    <row r="55" spans="2:6" x14ac:dyDescent="0.3">
      <c r="B55" s="42">
        <f>IF(Setup!$B$3:$B$324&lt;&gt;"",Setup!$B$3:$B$324,"")</f>
        <v>1053</v>
      </c>
      <c r="C55" s="46" t="str">
        <f>IF(Setup!$C$3:$C$324&lt;&gt;"",Setup!$C$3:$C$324,"")</f>
        <v>Waste bin with lid</v>
      </c>
      <c r="D55" s="42">
        <f t="array" ref="D55">SUM(IF(B55=Setup!$B$3:$B$1022,Setup!$D$3:$D$1022))</f>
        <v>9</v>
      </c>
      <c r="E55" s="42">
        <f>SUMIF(Sales!A:A,Stock!B55,Sales!D:D)</f>
        <v>20</v>
      </c>
      <c r="F55" s="42">
        <f t="shared" si="0"/>
        <v>-11</v>
      </c>
    </row>
    <row r="56" spans="2:6" x14ac:dyDescent="0.3">
      <c r="B56" s="42">
        <f>IF(Setup!$B$3:$B$324&lt;&gt;"",Setup!$B$3:$B$324,"")</f>
        <v>1054</v>
      </c>
      <c r="C56" s="46" t="str">
        <f>IF(Setup!$C$3:$C$324&lt;&gt;"",Setup!$C$3:$C$324,"")</f>
        <v>Paper basket-1</v>
      </c>
      <c r="D56" s="42">
        <f t="array" ref="D56">SUM(IF(B56=Setup!$B$3:$B$1022,Setup!$D$3:$D$1022))</f>
        <v>4</v>
      </c>
      <c r="E56" s="42">
        <f>SUMIF(Sales!A:A,Stock!B56,Sales!D:D)</f>
        <v>1</v>
      </c>
      <c r="F56" s="42">
        <f t="shared" si="0"/>
        <v>3</v>
      </c>
    </row>
    <row r="57" spans="2:6" x14ac:dyDescent="0.3">
      <c r="B57" s="42">
        <f>IF(Setup!$B$3:$B$324&lt;&gt;"",Setup!$B$3:$B$324,"")</f>
        <v>1055</v>
      </c>
      <c r="C57" s="46" t="str">
        <f>IF(Setup!$C$3:$C$324&lt;&gt;"",Setup!$C$3:$C$324,"")</f>
        <v>Paper basket-2</v>
      </c>
      <c r="D57" s="42">
        <f t="array" ref="D57">SUM(IF(B57=Setup!$B$3:$B$1022,Setup!$D$3:$D$1022))</f>
        <v>0</v>
      </c>
      <c r="E57" s="42">
        <f>SUMIF(Sales!A:A,Stock!B57,Sales!D:D)</f>
        <v>4</v>
      </c>
      <c r="F57" s="42">
        <f t="shared" si="0"/>
        <v>-4</v>
      </c>
    </row>
    <row r="58" spans="2:6" x14ac:dyDescent="0.3">
      <c r="B58" s="42">
        <f>IF(Setup!$B$3:$B$324&lt;&gt;"",Setup!$B$3:$B$324,"")</f>
        <v>1056</v>
      </c>
      <c r="C58" s="46" t="str">
        <f>IF(Setup!$C$3:$C$324&lt;&gt;"",Setup!$C$3:$C$324,"")</f>
        <v>Plastic hanger</v>
      </c>
      <c r="D58" s="42">
        <f t="array" ref="D58">SUM(IF(B58=Setup!$B$3:$B$1022,Setup!$D$3:$D$1022))</f>
        <v>40</v>
      </c>
      <c r="E58" s="42">
        <f>SUMIF(Sales!A:A,Stock!B58,Sales!D:D)</f>
        <v>126</v>
      </c>
      <c r="F58" s="42">
        <f t="shared" si="0"/>
        <v>-86</v>
      </c>
    </row>
    <row r="59" spans="2:6" x14ac:dyDescent="0.3">
      <c r="B59" s="42">
        <f>IF(Setup!$B$3:$B$324&lt;&gt;"",Setup!$B$3:$B$324,"")</f>
        <v>1057</v>
      </c>
      <c r="C59" s="46" t="str">
        <f>IF(Setup!$C$3:$C$324&lt;&gt;"",Setup!$C$3:$C$324,"")</f>
        <v>Bucket for room cleaning</v>
      </c>
      <c r="D59" s="42">
        <f t="array" ref="D59">SUM(IF(B59=Setup!$B$3:$B$1022,Setup!$D$3:$D$1022))</f>
        <v>0</v>
      </c>
      <c r="E59" s="42">
        <f>SUMIF(Sales!A:A,Stock!B59,Sales!D:D)</f>
        <v>3</v>
      </c>
      <c r="F59" s="42">
        <f t="shared" si="0"/>
        <v>-3</v>
      </c>
    </row>
    <row r="60" spans="2:6" x14ac:dyDescent="0.3">
      <c r="B60" s="42">
        <f>IF(Setup!$B$3:$B$324&lt;&gt;"",Setup!$B$3:$B$324,"")</f>
        <v>1058</v>
      </c>
      <c r="C60" s="46" t="str">
        <f>IF(Setup!$C$3:$C$324&lt;&gt;"",Setup!$C$3:$C$324,"")</f>
        <v>Water pot (New)</v>
      </c>
      <c r="D60" s="42">
        <f t="array" ref="D60">SUM(IF(B60=Setup!$B$3:$B$1022,Setup!$D$3:$D$1022))</f>
        <v>2</v>
      </c>
      <c r="E60" s="42">
        <f>SUMIF(Sales!A:A,Stock!B60,Sales!D:D)</f>
        <v>2</v>
      </c>
      <c r="F60" s="42">
        <f t="shared" si="0"/>
        <v>0</v>
      </c>
    </row>
    <row r="61" spans="2:6" x14ac:dyDescent="0.3">
      <c r="B61" s="42">
        <f>IF(Setup!$B$3:$B$324&lt;&gt;"",Setup!$B$3:$B$324,"")</f>
        <v>1059</v>
      </c>
      <c r="C61" s="46" t="str">
        <f>IF(Setup!$C$3:$C$324&lt;&gt;"",Setup!$C$3:$C$324,"")</f>
        <v>Mop for room cleaning (New)</v>
      </c>
      <c r="D61" s="42">
        <f t="array" ref="D61">SUM(IF(B61=Setup!$B$3:$B$1022,Setup!$D$3:$D$1022))</f>
        <v>7</v>
      </c>
      <c r="E61" s="42">
        <f>SUMIF(Sales!A:A,Stock!B61,Sales!D:D)</f>
        <v>41</v>
      </c>
      <c r="F61" s="42">
        <f t="shared" si="0"/>
        <v>-34</v>
      </c>
    </row>
    <row r="62" spans="2:6" x14ac:dyDescent="0.3">
      <c r="B62" s="42">
        <f>IF(Setup!$B$3:$B$324&lt;&gt;"",Setup!$B$3:$B$324,"")</f>
        <v>1060</v>
      </c>
      <c r="C62" s="46" t="str">
        <f>IF(Setup!$C$3:$C$324&lt;&gt;"",Setup!$C$3:$C$324,"")</f>
        <v>Flower broom (New)</v>
      </c>
      <c r="D62" s="42">
        <f t="array" ref="D62">SUM(IF(B62=Setup!$B$3:$B$1022,Setup!$D$3:$D$1022))</f>
        <v>10</v>
      </c>
      <c r="E62" s="42">
        <f>SUMIF(Sales!A:A,Stock!B62,Sales!D:D)</f>
        <v>25</v>
      </c>
      <c r="F62" s="42">
        <f t="shared" si="0"/>
        <v>-15</v>
      </c>
    </row>
    <row r="63" spans="2:6" x14ac:dyDescent="0.3">
      <c r="B63" s="42">
        <f>IF(Setup!$B$3:$B$324&lt;&gt;"",Setup!$B$3:$B$324,"")</f>
        <v>1061</v>
      </c>
      <c r="C63" s="46" t="str">
        <f>IF(Setup!$C$3:$C$324&lt;&gt;"",Setup!$C$3:$C$324,"")</f>
        <v>Plastic belcha</v>
      </c>
      <c r="D63" s="42">
        <f t="array" ref="D63">SUM(IF(B63=Setup!$B$3:$B$1022,Setup!$D$3:$D$1022))</f>
        <v>2</v>
      </c>
      <c r="E63" s="42">
        <f>SUMIF(Sales!A:A,Stock!B63,Sales!D:D)</f>
        <v>4</v>
      </c>
      <c r="F63" s="42">
        <f t="shared" si="0"/>
        <v>-2</v>
      </c>
    </row>
    <row r="64" spans="2:6" x14ac:dyDescent="0.3">
      <c r="B64" s="42">
        <f>IF(Setup!$B$3:$B$324&lt;&gt;"",Setup!$B$3:$B$324,"")</f>
        <v>1062</v>
      </c>
      <c r="C64" s="46" t="str">
        <f>IF(Setup!$C$3:$C$324&lt;&gt;"",Setup!$C$3:$C$324,"")</f>
        <v>SS Stick</v>
      </c>
      <c r="D64" s="42">
        <f t="array" ref="D64">SUM(IF(B64=Setup!$B$3:$B$1022,Setup!$D$3:$D$1022))</f>
        <v>2</v>
      </c>
      <c r="E64" s="42">
        <f>SUMIF(Sales!A:A,Stock!B64,Sales!D:D)</f>
        <v>2</v>
      </c>
      <c r="F64" s="42">
        <f t="shared" si="0"/>
        <v>0</v>
      </c>
    </row>
    <row r="65" spans="2:6" x14ac:dyDescent="0.3">
      <c r="B65" s="42">
        <f>IF(Setup!$B$3:$B$324&lt;&gt;"",Setup!$B$3:$B$324,"")</f>
        <v>1063</v>
      </c>
      <c r="C65" s="46" t="str">
        <f>IF(Setup!$C$3:$C$324&lt;&gt;"",Setup!$C$3:$C$324,"")</f>
        <v>Rain coat</v>
      </c>
      <c r="D65" s="42">
        <f t="array" ref="D65">SUM(IF(B65=Setup!$B$3:$B$1022,Setup!$D$3:$D$1022))</f>
        <v>5</v>
      </c>
      <c r="E65" s="42">
        <f>SUMIF(Sales!A:A,Stock!B65,Sales!D:D)</f>
        <v>5</v>
      </c>
      <c r="F65" s="42">
        <f t="shared" si="0"/>
        <v>0</v>
      </c>
    </row>
    <row r="66" spans="2:6" x14ac:dyDescent="0.3">
      <c r="B66" s="42">
        <f>IF(Setup!$B$3:$B$324&lt;&gt;"",Setup!$B$3:$B$324,"")</f>
        <v>1064</v>
      </c>
      <c r="C66" s="46" t="str">
        <f>IF(Setup!$C$3:$C$324&lt;&gt;"",Setup!$C$3:$C$324,"")</f>
        <v>Mosquito Racket</v>
      </c>
      <c r="D66" s="42">
        <f t="array" ref="D66">SUM(IF(B66=Setup!$B$3:$B$1022,Setup!$D$3:$D$1022))</f>
        <v>0</v>
      </c>
      <c r="E66" s="42">
        <f>SUMIF(Sales!A:A,Stock!B66,Sales!D:D)</f>
        <v>1</v>
      </c>
      <c r="F66" s="42">
        <f t="shared" si="0"/>
        <v>-1</v>
      </c>
    </row>
    <row r="67" spans="2:6" x14ac:dyDescent="0.3">
      <c r="B67" s="42">
        <f>IF(Setup!$B$3:$B$324&lt;&gt;"",Setup!$B$3:$B$324,"")</f>
        <v>1065</v>
      </c>
      <c r="C67" s="46" t="str">
        <f>IF(Setup!$C$3:$C$324&lt;&gt;"",Setup!$C$3:$C$324,"")</f>
        <v>Electronic Balance</v>
      </c>
      <c r="D67" s="42">
        <f t="array" ref="D67">SUM(IF(B67=Setup!$B$3:$B$1022,Setup!$D$3:$D$1022))</f>
        <v>0</v>
      </c>
      <c r="E67" s="42">
        <f>SUMIF(Sales!A:A,Stock!B67,Sales!D:D)</f>
        <v>0</v>
      </c>
      <c r="F67" s="42">
        <f t="shared" ref="F67:F130" si="1">+D67-E67</f>
        <v>0</v>
      </c>
    </row>
    <row r="68" spans="2:6" x14ac:dyDescent="0.3">
      <c r="B68" s="42">
        <f>IF(Setup!$B$3:$B$324&lt;&gt;"",Setup!$B$3:$B$324,"")</f>
        <v>1066</v>
      </c>
      <c r="C68" s="46" t="str">
        <f>IF(Setup!$C$3:$C$324&lt;&gt;"",Setup!$C$3:$C$324,"")</f>
        <v>Prayer Mat (Jainamaz)</v>
      </c>
      <c r="D68" s="42">
        <f t="array" ref="D68">SUM(IF(B68=Setup!$B$3:$B$1022,Setup!$D$3:$D$1022))</f>
        <v>0</v>
      </c>
      <c r="E68" s="42">
        <f>SUMIF(Sales!A:A,Stock!B68,Sales!D:D)</f>
        <v>1</v>
      </c>
      <c r="F68" s="42">
        <f t="shared" si="1"/>
        <v>-1</v>
      </c>
    </row>
    <row r="69" spans="2:6" x14ac:dyDescent="0.3">
      <c r="B69" s="42">
        <f>IF(Setup!$B$3:$B$324&lt;&gt;"",Setup!$B$3:$B$324,"")</f>
        <v>1101</v>
      </c>
      <c r="C69" s="46" t="str">
        <f>IF(Setup!$C$3:$C$324&lt;&gt;"",Setup!$C$3:$C$324,"")</f>
        <v>LED Tube Light -23W - Used</v>
      </c>
      <c r="D69" s="42">
        <f t="array" ref="D69">SUM(IF(B69=Setup!$B$3:$B$1022,Setup!$D$3:$D$1022))</f>
        <v>50</v>
      </c>
      <c r="E69" s="42">
        <f>SUMIF(Sales!A:A,Stock!B69,Sales!D:D)</f>
        <v>52</v>
      </c>
      <c r="F69" s="42">
        <f t="shared" si="1"/>
        <v>-2</v>
      </c>
    </row>
    <row r="70" spans="2:6" x14ac:dyDescent="0.3">
      <c r="B70" s="42">
        <f>IF(Setup!$B$3:$B$324&lt;&gt;"",Setup!$B$3:$B$324,"")</f>
        <v>1102</v>
      </c>
      <c r="C70" s="46" t="str">
        <f>IF(Setup!$C$3:$C$324&lt;&gt;"",Setup!$C$3:$C$324,"")</f>
        <v>LED Bulb-9W - New</v>
      </c>
      <c r="D70" s="42">
        <f t="array" ref="D70">SUM(IF(B70=Setup!$B$3:$B$1022,Setup!$D$3:$D$1022))</f>
        <v>3</v>
      </c>
      <c r="E70" s="42">
        <f>SUMIF(Sales!A:A,Stock!B70,Sales!D:D)</f>
        <v>2</v>
      </c>
      <c r="F70" s="42">
        <f t="shared" si="1"/>
        <v>1</v>
      </c>
    </row>
    <row r="71" spans="2:6" x14ac:dyDescent="0.3">
      <c r="B71" s="42">
        <f>IF(Setup!$B$3:$B$324&lt;&gt;"",Setup!$B$3:$B$324,"")</f>
        <v>1103</v>
      </c>
      <c r="C71" s="46" t="str">
        <f>IF(Setup!$C$3:$C$324&lt;&gt;"",Setup!$C$3:$C$324,"")</f>
        <v>LED Bulb-9W - Used</v>
      </c>
      <c r="D71" s="42">
        <f t="array" ref="D71">SUM(IF(B71=Setup!$B$3:$B$1022,Setup!$D$3:$D$1022))</f>
        <v>103</v>
      </c>
      <c r="E71" s="42">
        <f>SUMIF(Sales!A:A,Stock!B71,Sales!D:D)</f>
        <v>108</v>
      </c>
      <c r="F71" s="42">
        <f t="shared" si="1"/>
        <v>-5</v>
      </c>
    </row>
    <row r="72" spans="2:6" x14ac:dyDescent="0.3">
      <c r="B72" s="42">
        <f>IF(Setup!$B$3:$B$324&lt;&gt;"",Setup!$B$3:$B$324,"")</f>
        <v>1104</v>
      </c>
      <c r="C72" s="46" t="str">
        <f>IF(Setup!$C$3:$C$324&lt;&gt;"",Setup!$C$3:$C$324,"")</f>
        <v>LED Red  Bulb-10W - Used</v>
      </c>
      <c r="D72" s="42">
        <f t="array" ref="D72">SUM(IF(B72=Setup!$B$3:$B$1022,Setup!$D$3:$D$1022))</f>
        <v>4</v>
      </c>
      <c r="E72" s="42">
        <f>SUMIF(Sales!A:A,Stock!B72,Sales!D:D)</f>
        <v>3</v>
      </c>
      <c r="F72" s="42">
        <f t="shared" si="1"/>
        <v>1</v>
      </c>
    </row>
    <row r="73" spans="2:6" x14ac:dyDescent="0.3">
      <c r="B73" s="42">
        <f>IF(Setup!$B$3:$B$324&lt;&gt;"",Setup!$B$3:$B$324,"")</f>
        <v>1105</v>
      </c>
      <c r="C73" s="46" t="str">
        <f>IF(Setup!$C$3:$C$324&lt;&gt;"",Setup!$C$3:$C$324,"")</f>
        <v>LED Bulb-20W - New</v>
      </c>
      <c r="D73" s="42">
        <f t="array" ref="D73">SUM(IF(B73=Setup!$B$3:$B$1022,Setup!$D$3:$D$1022))</f>
        <v>0</v>
      </c>
      <c r="E73" s="42">
        <f>SUMIF(Sales!A:A,Stock!B73,Sales!D:D)</f>
        <v>0</v>
      </c>
      <c r="F73" s="42">
        <f t="shared" si="1"/>
        <v>0</v>
      </c>
    </row>
    <row r="74" spans="2:6" x14ac:dyDescent="0.3">
      <c r="B74" s="42">
        <f>IF(Setup!$B$3:$B$324&lt;&gt;"",Setup!$B$3:$B$324,"")</f>
        <v>1106</v>
      </c>
      <c r="C74" s="46" t="str">
        <f>IF(Setup!$C$3:$C$324&lt;&gt;"",Setup!$C$3:$C$324,"")</f>
        <v>LED Bulb-20W - Used</v>
      </c>
      <c r="D74" s="42">
        <f t="array" ref="D74">SUM(IF(B74=Setup!$B$3:$B$1022,Setup!$D$3:$D$1022))</f>
        <v>170</v>
      </c>
      <c r="E74" s="42">
        <f>SUMIF(Sales!A:A,Stock!B74,Sales!D:D)</f>
        <v>214</v>
      </c>
      <c r="F74" s="42">
        <f t="shared" si="1"/>
        <v>-44</v>
      </c>
    </row>
    <row r="75" spans="2:6" x14ac:dyDescent="0.3">
      <c r="B75" s="42">
        <f>IF(Setup!$B$3:$B$324&lt;&gt;"",Setup!$B$3:$B$324,"")</f>
        <v>1107</v>
      </c>
      <c r="C75" s="46" t="str">
        <f>IF(Setup!$C$3:$C$324&lt;&gt;"",Setup!$C$3:$C$324,"")</f>
        <v>Light Holder - New</v>
      </c>
      <c r="D75" s="42">
        <f t="array" ref="D75">SUM(IF(B75=Setup!$B$3:$B$1022,Setup!$D$3:$D$1022))</f>
        <v>0</v>
      </c>
      <c r="E75" s="42">
        <f>SUMIF(Sales!A:A,Stock!B75,Sales!D:D)</f>
        <v>37</v>
      </c>
      <c r="F75" s="42">
        <f t="shared" si="1"/>
        <v>-37</v>
      </c>
    </row>
    <row r="76" spans="2:6" x14ac:dyDescent="0.3">
      <c r="B76" s="42">
        <f>IF(Setup!$B$3:$B$324&lt;&gt;"",Setup!$B$3:$B$324,"")</f>
        <v>1108</v>
      </c>
      <c r="C76" s="46" t="str">
        <f>IF(Setup!$C$3:$C$324&lt;&gt;"",Setup!$C$3:$C$324,"")</f>
        <v>Light Holder - Used</v>
      </c>
      <c r="D76" s="42">
        <f t="array" ref="D76">SUM(IF(B76=Setup!$B$3:$B$1022,Setup!$D$3:$D$1022))</f>
        <v>140</v>
      </c>
      <c r="E76" s="42">
        <f>SUMIF(Sales!A:A,Stock!B76,Sales!D:D)</f>
        <v>152</v>
      </c>
      <c r="F76" s="42">
        <f t="shared" si="1"/>
        <v>-12</v>
      </c>
    </row>
    <row r="77" spans="2:6" x14ac:dyDescent="0.3">
      <c r="B77" s="42">
        <f>IF(Setup!$B$3:$B$324&lt;&gt;"",Setup!$B$3:$B$324,"")</f>
        <v>1109</v>
      </c>
      <c r="C77" s="46" t="str">
        <f>IF(Setup!$C$3:$C$324&lt;&gt;"",Setup!$C$3:$C$324,"")</f>
        <v>Flood Light (China) - 100W IP - 65/68 - Usesd</v>
      </c>
      <c r="D77" s="42">
        <f t="array" ref="D77">SUM(IF(B77=Setup!$B$3:$B$1022,Setup!$D$3:$D$1022))</f>
        <v>1</v>
      </c>
      <c r="E77" s="42">
        <f>SUMIF(Sales!A:A,Stock!B77,Sales!D:D)</f>
        <v>1</v>
      </c>
      <c r="F77" s="42">
        <f t="shared" si="1"/>
        <v>0</v>
      </c>
    </row>
    <row r="78" spans="2:6" x14ac:dyDescent="0.3">
      <c r="B78" s="42">
        <f>IF(Setup!$B$3:$B$324&lt;&gt;"",Setup!$B$3:$B$324,"")</f>
        <v>1110</v>
      </c>
      <c r="C78" s="46" t="str">
        <f>IF(Setup!$C$3:$C$324&lt;&gt;"",Setup!$C$3:$C$324,"")</f>
        <v>Flood Light (China) - 100W IP - 65/68 - New</v>
      </c>
      <c r="D78" s="42">
        <f t="array" ref="D78">SUM(IF(B78=Setup!$B$3:$B$1022,Setup!$D$3:$D$1022))</f>
        <v>0</v>
      </c>
      <c r="E78" s="42">
        <f>SUMIF(Sales!A:A,Stock!B78,Sales!D:D)</f>
        <v>0</v>
      </c>
      <c r="F78" s="42">
        <f t="shared" si="1"/>
        <v>0</v>
      </c>
    </row>
    <row r="79" spans="2:6" x14ac:dyDescent="0.3">
      <c r="B79" s="42">
        <f>IF(Setup!$B$3:$B$324&lt;&gt;"",Setup!$B$3:$B$324,"")</f>
        <v>1111</v>
      </c>
      <c r="C79" s="46" t="str">
        <f>IF(Setup!$C$3:$C$324&lt;&gt;"",Setup!$C$3:$C$324,"")</f>
        <v>Flood Light (Transtec) - 100W IP - 65/68 - Used</v>
      </c>
      <c r="D79" s="42">
        <f t="array" ref="D79">SUM(IF(B79=Setup!$B$3:$B$1022,Setup!$D$3:$D$1022))</f>
        <v>0</v>
      </c>
      <c r="E79" s="42">
        <f>SUMIF(Sales!A:A,Stock!B79,Sales!D:D)</f>
        <v>0</v>
      </c>
      <c r="F79" s="42">
        <f t="shared" si="1"/>
        <v>0</v>
      </c>
    </row>
    <row r="80" spans="2:6" x14ac:dyDescent="0.3">
      <c r="B80" s="42">
        <f>IF(Setup!$B$3:$B$324&lt;&gt;"",Setup!$B$3:$B$324,"")</f>
        <v>1112</v>
      </c>
      <c r="C80" s="46" t="str">
        <f>IF(Setup!$C$3:$C$324&lt;&gt;"",Setup!$C$3:$C$324,"")</f>
        <v>Flood Light (Transtec) - 100W IP - 65/68 - New</v>
      </c>
      <c r="D80" s="42">
        <f t="array" ref="D80">SUM(IF(B80=Setup!$B$3:$B$1022,Setup!$D$3:$D$1022))</f>
        <v>0</v>
      </c>
      <c r="E80" s="42">
        <f>SUMIF(Sales!A:A,Stock!B80,Sales!D:D)</f>
        <v>0</v>
      </c>
      <c r="F80" s="42">
        <f t="shared" si="1"/>
        <v>0</v>
      </c>
    </row>
    <row r="81" spans="2:6" x14ac:dyDescent="0.3">
      <c r="B81" s="42">
        <f>IF(Setup!$B$3:$B$324&lt;&gt;"",Setup!$B$3:$B$324,"")</f>
        <v>1113</v>
      </c>
      <c r="C81" s="46" t="str">
        <f>IF(Setup!$C$3:$C$324&lt;&gt;"",Setup!$C$3:$C$324,"")</f>
        <v>Ceiling Fan (BRB Lovely, White Color) - Used</v>
      </c>
      <c r="D81" s="42">
        <f t="array" ref="D81">SUM(IF(B81=Setup!$B$3:$B$1022,Setup!$D$3:$D$1022))</f>
        <v>185</v>
      </c>
      <c r="E81" s="42">
        <f>SUMIF(Sales!A:A,Stock!B81,Sales!D:D)</f>
        <v>180</v>
      </c>
      <c r="F81" s="42">
        <f t="shared" si="1"/>
        <v>5</v>
      </c>
    </row>
    <row r="82" spans="2:6" x14ac:dyDescent="0.3">
      <c r="B82" s="42">
        <f>IF(Setup!$B$3:$B$324&lt;&gt;"",Setup!$B$3:$B$324,"")</f>
        <v>1114</v>
      </c>
      <c r="C82" s="46" t="str">
        <f>IF(Setup!$C$3:$C$324&lt;&gt;"",Setup!$C$3:$C$324,"")</f>
        <v>Ceiling Fan (RFL Click, White Color) - Used, from BD Army</v>
      </c>
      <c r="D82" s="42">
        <f t="array" ref="D82">SUM(IF(B82=Setup!$B$3:$B$1022,Setup!$D$3:$D$1022))</f>
        <v>71</v>
      </c>
      <c r="E82" s="42">
        <f>SUMIF(Sales!A:A,Stock!B82,Sales!D:D)</f>
        <v>84</v>
      </c>
      <c r="F82" s="42">
        <f t="shared" si="1"/>
        <v>-13</v>
      </c>
    </row>
    <row r="83" spans="2:6" x14ac:dyDescent="0.3">
      <c r="B83" s="42">
        <f>IF(Setup!$B$3:$B$324&lt;&gt;"",Setup!$B$3:$B$324,"")</f>
        <v>1115</v>
      </c>
      <c r="C83" s="46" t="str">
        <f>IF(Setup!$C$3:$C$324&lt;&gt;"",Setup!$C$3:$C$324,"")</f>
        <v>Ceiling Fan (Out of Order/Not workable) - Used, from BD Army</v>
      </c>
      <c r="D83" s="42">
        <f t="array" ref="D83">SUM(IF(B83=Setup!$B$3:$B$1022,Setup!$D$3:$D$1022))</f>
        <v>0</v>
      </c>
      <c r="E83" s="42">
        <f>SUMIF(Sales!A:A,Stock!B83,Sales!D:D)</f>
        <v>1</v>
      </c>
      <c r="F83" s="42">
        <f t="shared" si="1"/>
        <v>-1</v>
      </c>
    </row>
    <row r="84" spans="2:6" x14ac:dyDescent="0.3">
      <c r="B84" s="42">
        <f>IF(Setup!$B$3:$B$324&lt;&gt;"",Setup!$B$3:$B$324,"")</f>
        <v>1116</v>
      </c>
      <c r="C84" s="46" t="str">
        <f>IF(Setup!$C$3:$C$324&lt;&gt;"",Setup!$C$3:$C$324,"")</f>
        <v>Pedestal Fan (GFC - Pakistan)</v>
      </c>
      <c r="D84" s="42">
        <f t="array" ref="D84">SUM(IF(B84=Setup!$B$3:$B$1022,Setup!$D$3:$D$1022))</f>
        <v>5</v>
      </c>
      <c r="E84" s="42">
        <f>SUMIF(Sales!A:A,Stock!B84,Sales!D:D)</f>
        <v>5</v>
      </c>
      <c r="F84" s="42">
        <f t="shared" si="1"/>
        <v>0</v>
      </c>
    </row>
    <row r="85" spans="2:6" x14ac:dyDescent="0.3">
      <c r="B85" s="42">
        <f>IF(Setup!$B$3:$B$324&lt;&gt;"",Setup!$B$3:$B$324,"")</f>
        <v>1117</v>
      </c>
      <c r="C85" s="46" t="str">
        <f>IF(Setup!$C$3:$C$324&lt;&gt;"",Setup!$C$3:$C$324,"")</f>
        <v>Wall Fan (Meera 20")</v>
      </c>
      <c r="D85" s="42">
        <f t="array" ref="D85">SUM(IF(B85=Setup!$B$3:$B$1022,Setup!$D$3:$D$1022))</f>
        <v>2</v>
      </c>
      <c r="E85" s="42">
        <f>SUMIF(Sales!A:A,Stock!B85,Sales!D:D)</f>
        <v>1</v>
      </c>
      <c r="F85" s="42">
        <f t="shared" si="1"/>
        <v>1</v>
      </c>
    </row>
    <row r="86" spans="2:6" x14ac:dyDescent="0.3">
      <c r="B86" s="42">
        <f>IF(Setup!$B$3:$B$324&lt;&gt;"",Setup!$B$3:$B$324,"")</f>
        <v>1118</v>
      </c>
      <c r="C86" s="46" t="str">
        <f>IF(Setup!$C$3:$C$324&lt;&gt;"",Setup!$C$3:$C$324,"")</f>
        <v>Exhaust Fan (For Toilet, 12"x12") - Used</v>
      </c>
      <c r="D86" s="42">
        <f t="array" ref="D86">SUM(IF(B86=Setup!$B$3:$B$1022,Setup!$D$3:$D$1022))</f>
        <v>1</v>
      </c>
      <c r="E86" s="42">
        <f>SUMIF(Sales!A:A,Stock!B86,Sales!D:D)</f>
        <v>1</v>
      </c>
      <c r="F86" s="42">
        <f t="shared" si="1"/>
        <v>0</v>
      </c>
    </row>
    <row r="87" spans="2:6" x14ac:dyDescent="0.3">
      <c r="B87" s="42">
        <f>IF(Setup!$B$3:$B$324&lt;&gt;"",Setup!$B$3:$B$324,"")</f>
        <v>1119</v>
      </c>
      <c r="C87" s="46" t="str">
        <f>IF(Setup!$C$3:$C$324&lt;&gt;"",Setup!$C$3:$C$324,"")</f>
        <v>Exhaust Fan (Industrial Type, 1.5'x1.5')</v>
      </c>
      <c r="D87" s="42">
        <f t="array" ref="D87">SUM(IF(B87=Setup!$B$3:$B$1022,Setup!$D$3:$D$1022))</f>
        <v>0</v>
      </c>
      <c r="E87" s="42">
        <f>SUMIF(Sales!A:A,Stock!B87,Sales!D:D)</f>
        <v>0</v>
      </c>
      <c r="F87" s="42">
        <f t="shared" si="1"/>
        <v>0</v>
      </c>
    </row>
    <row r="88" spans="2:6" x14ac:dyDescent="0.3">
      <c r="B88" s="42">
        <f>IF(Setup!$B$3:$B$324&lt;&gt;"",Setup!$B$3:$B$324,"")</f>
        <v>1120</v>
      </c>
      <c r="C88" s="46" t="str">
        <f>IF(Setup!$C$3:$C$324&lt;&gt;"",Setup!$C$3:$C$324,"")</f>
        <v>AC- 1 Ton (Gree)</v>
      </c>
      <c r="D88" s="42">
        <f t="array" ref="D88">SUM(IF(B88=Setup!$B$3:$B$1022,Setup!$D$3:$D$1022))</f>
        <v>1</v>
      </c>
      <c r="E88" s="42">
        <f>SUMIF(Sales!A:A,Stock!B88,Sales!D:D)</f>
        <v>1</v>
      </c>
      <c r="F88" s="42">
        <f t="shared" si="1"/>
        <v>0</v>
      </c>
    </row>
    <row r="89" spans="2:6" x14ac:dyDescent="0.3">
      <c r="B89" s="42">
        <f>IF(Setup!$B$3:$B$324&lt;&gt;"",Setup!$B$3:$B$324,"")</f>
        <v>1121</v>
      </c>
      <c r="C89" s="46" t="str">
        <f>IF(Setup!$C$3:$C$324&lt;&gt;"",Setup!$C$3:$C$324,"")</f>
        <v>DOL Starter (1.1/2 KW) - New</v>
      </c>
      <c r="D89" s="42">
        <f t="array" ref="D89">SUM(IF(B89=Setup!$B$3:$B$1022,Setup!$D$3:$D$1022))</f>
        <v>0</v>
      </c>
      <c r="E89" s="42">
        <f>SUMIF(Sales!A:A,Stock!B89,Sales!D:D)</f>
        <v>0</v>
      </c>
      <c r="F89" s="42">
        <f t="shared" si="1"/>
        <v>0</v>
      </c>
    </row>
    <row r="90" spans="2:6" x14ac:dyDescent="0.3">
      <c r="B90" s="42">
        <f>IF(Setup!$B$3:$B$324&lt;&gt;"",Setup!$B$3:$B$324,"")</f>
        <v>1122</v>
      </c>
      <c r="C90" s="46" t="str">
        <f>IF(Setup!$C$3:$C$324&lt;&gt;"",Setup!$C$3:$C$324,"")</f>
        <v>Switch &amp; Sockets (around 200 Pcs)</v>
      </c>
      <c r="D90" s="42">
        <f t="array" ref="D90">SUM(IF(B90=Setup!$B$3:$B$1022,Setup!$D$3:$D$1022))</f>
        <v>0</v>
      </c>
      <c r="E90" s="42">
        <f>SUMIF(Sales!A:A,Stock!B90,Sales!D:D)</f>
        <v>0</v>
      </c>
      <c r="F90" s="42">
        <f t="shared" si="1"/>
        <v>0</v>
      </c>
    </row>
    <row r="91" spans="2:6" x14ac:dyDescent="0.3">
      <c r="B91" s="42">
        <f>IF(Setup!$B$3:$B$324&lt;&gt;"",Setup!$B$3:$B$324,"")</f>
        <v>1123</v>
      </c>
      <c r="C91" s="46" t="str">
        <f>IF(Setup!$C$3:$C$324&lt;&gt;"",Setup!$C$3:$C$324,"")</f>
        <v>All types of Cables</v>
      </c>
      <c r="D91" s="42">
        <f t="array" ref="D91">SUM(IF(B91=Setup!$B$3:$B$1022,Setup!$D$3:$D$1022))</f>
        <v>0</v>
      </c>
      <c r="E91" s="42">
        <f>SUMIF(Sales!A:A,Stock!B91,Sales!D:D)</f>
        <v>0</v>
      </c>
      <c r="F91" s="42">
        <f t="shared" si="1"/>
        <v>0</v>
      </c>
    </row>
    <row r="92" spans="2:6" x14ac:dyDescent="0.3">
      <c r="B92" s="42">
        <f>IF(Setup!$B$3:$B$324&lt;&gt;"",Setup!$B$3:$B$324,"")</f>
        <v>1124</v>
      </c>
      <c r="C92" s="46" t="str">
        <f>IF(Setup!$C$3:$C$324&lt;&gt;"",Setup!$C$3:$C$324,"")</f>
        <v>PVC Conduit, Channel, Box, Bend, Elbow &amp; Tee</v>
      </c>
      <c r="D92" s="42">
        <f t="array" ref="D92">SUM(IF(B92=Setup!$B$3:$B$1022,Setup!$D$3:$D$1022))</f>
        <v>0</v>
      </c>
      <c r="E92" s="42">
        <f>SUMIF(Sales!A:A,Stock!B92,Sales!D:D)</f>
        <v>0</v>
      </c>
      <c r="F92" s="42">
        <f t="shared" si="1"/>
        <v>0</v>
      </c>
    </row>
    <row r="93" spans="2:6" x14ac:dyDescent="0.3">
      <c r="B93" s="42">
        <f>IF(Setup!$B$3:$B$324&lt;&gt;"",Setup!$B$3:$B$324,"")</f>
        <v>1125</v>
      </c>
      <c r="C93" s="46" t="str">
        <f>IF(Setup!$C$3:$C$324&lt;&gt;"",Setup!$C$3:$C$324,"")</f>
        <v>Queue Barrier</v>
      </c>
      <c r="D93" s="42">
        <f t="array" ref="D93">SUM(IF(B93=Setup!$B$3:$B$1022,Setup!$D$3:$D$1022))</f>
        <v>0</v>
      </c>
      <c r="E93" s="42">
        <f>SUMIF(Sales!A:A,Stock!B93,Sales!D:D)</f>
        <v>0</v>
      </c>
      <c r="F93" s="42">
        <f t="shared" si="1"/>
        <v>0</v>
      </c>
    </row>
    <row r="94" spans="2:6" x14ac:dyDescent="0.3">
      <c r="B94" s="42">
        <f>IF(Setup!$B$3:$B$324&lt;&gt;"",Setup!$B$3:$B$324,"")</f>
        <v>1126</v>
      </c>
      <c r="C94" s="46" t="str">
        <f>IF(Setup!$C$3:$C$324&lt;&gt;"",Setup!$C$3:$C$324,"")</f>
        <v>Fire Extinguisher-ABC dry chemical</v>
      </c>
      <c r="D94" s="42">
        <f t="array" ref="D94">SUM(IF(B94=Setup!$B$3:$B$1022,Setup!$D$3:$D$1022))</f>
        <v>2</v>
      </c>
      <c r="E94" s="42">
        <f>SUMIF(Sales!A:A,Stock!B94,Sales!D:D)</f>
        <v>3</v>
      </c>
      <c r="F94" s="42">
        <f t="shared" si="1"/>
        <v>-1</v>
      </c>
    </row>
    <row r="95" spans="2:6" x14ac:dyDescent="0.3">
      <c r="B95" s="42">
        <f>IF(Setup!$B$3:$B$324&lt;&gt;"",Setup!$B$3:$B$324,"")</f>
        <v>1127</v>
      </c>
      <c r="C95" s="46" t="str">
        <f>IF(Setup!$C$3:$C$324&lt;&gt;"",Setup!$C$3:$C$324,"")</f>
        <v>Fire Extinguisher-Co2</v>
      </c>
      <c r="D95" s="42">
        <f t="array" ref="D95">SUM(IF(B95=Setup!$B$3:$B$1022,Setup!$D$3:$D$1022))</f>
        <v>0</v>
      </c>
      <c r="E95" s="42">
        <f>SUMIF(Sales!A:A,Stock!B95,Sales!D:D)</f>
        <v>0</v>
      </c>
      <c r="F95" s="42">
        <f t="shared" si="1"/>
        <v>0</v>
      </c>
    </row>
    <row r="96" spans="2:6" x14ac:dyDescent="0.3">
      <c r="B96" s="42">
        <f>IF(Setup!$B$3:$B$324&lt;&gt;"",Setup!$B$3:$B$324,"")</f>
        <v>1128</v>
      </c>
      <c r="C96" s="46" t="str">
        <f>IF(Setup!$C$3:$C$324&lt;&gt;"",Setup!$C$3:$C$324,"")</f>
        <v>Fire Extinguisher-Foam</v>
      </c>
      <c r="D96" s="42">
        <f t="array" ref="D96">SUM(IF(B96=Setup!$B$3:$B$1022,Setup!$D$3:$D$1022))</f>
        <v>0</v>
      </c>
      <c r="E96" s="42">
        <f>SUMIF(Sales!A:A,Stock!B96,Sales!D:D)</f>
        <v>0</v>
      </c>
      <c r="F96" s="42">
        <f t="shared" si="1"/>
        <v>0</v>
      </c>
    </row>
    <row r="97" spans="2:6" x14ac:dyDescent="0.3">
      <c r="B97" s="42">
        <f>IF(Setup!$B$3:$B$324&lt;&gt;"",Setup!$B$3:$B$324,"")</f>
        <v>1129</v>
      </c>
      <c r="C97" s="46" t="str">
        <f>IF(Setup!$C$3:$C$324&lt;&gt;"",Setup!$C$3:$C$324,"")</f>
        <v xml:space="preserve">Calling Bell for Flats - New </v>
      </c>
      <c r="D97" s="42">
        <f t="array" ref="D97">SUM(IF(B97=Setup!$B$3:$B$1022,Setup!$D$3:$D$1022))</f>
        <v>0</v>
      </c>
      <c r="E97" s="42">
        <f>SUMIF(Sales!A:A,Stock!B97,Sales!D:D)</f>
        <v>2</v>
      </c>
      <c r="F97" s="42">
        <f t="shared" si="1"/>
        <v>-2</v>
      </c>
    </row>
    <row r="98" spans="2:6" x14ac:dyDescent="0.3">
      <c r="B98" s="42">
        <f>IF(Setup!$B$3:$B$324&lt;&gt;"",Setup!$B$3:$B$324,"")</f>
        <v>1130</v>
      </c>
      <c r="C98" s="46" t="str">
        <f>IF(Setup!$C$3:$C$324&lt;&gt;"",Setup!$C$3:$C$324,"")</f>
        <v>Calling Bell for Flats - Used</v>
      </c>
      <c r="D98" s="42">
        <f t="array" ref="D98">SUM(IF(B98=Setup!$B$3:$B$1022,Setup!$D$3:$D$1022))</f>
        <v>1</v>
      </c>
      <c r="E98" s="42">
        <f>SUMIF(Sales!A:A,Stock!B98,Sales!D:D)</f>
        <v>2</v>
      </c>
      <c r="F98" s="42">
        <f t="shared" si="1"/>
        <v>-1</v>
      </c>
    </row>
    <row r="99" spans="2:6" x14ac:dyDescent="0.3">
      <c r="B99" s="42">
        <f>IF(Setup!$B$3:$B$324&lt;&gt;"",Setup!$B$3:$B$324,"")</f>
        <v>1131</v>
      </c>
      <c r="C99" s="46" t="str">
        <f>IF(Setup!$C$3:$C$324&lt;&gt;"",Setup!$C$3:$C$324,"")</f>
        <v>Calling Bell for OFFICE - New</v>
      </c>
      <c r="D99" s="42">
        <f t="array" ref="D99">SUM(IF(B99=Setup!$B$3:$B$1022,Setup!$D$3:$D$1022))</f>
        <v>0</v>
      </c>
      <c r="E99" s="42">
        <f>SUMIF(Sales!A:A,Stock!B99,Sales!D:D)</f>
        <v>1</v>
      </c>
      <c r="F99" s="42">
        <f t="shared" si="1"/>
        <v>-1</v>
      </c>
    </row>
    <row r="100" spans="2:6" x14ac:dyDescent="0.3">
      <c r="B100" s="42">
        <f>IF(Setup!$B$3:$B$324&lt;&gt;"",Setup!$B$3:$B$324,"")</f>
        <v>1132</v>
      </c>
      <c r="C100" s="46" t="str">
        <f>IF(Setup!$C$3:$C$324&lt;&gt;"",Setup!$C$3:$C$324,"")</f>
        <v>Calling Bell for OFFICE - Used</v>
      </c>
      <c r="D100" s="42">
        <f t="array" ref="D100">SUM(IF(B100=Setup!$B$3:$B$1022,Setup!$D$3:$D$1022))</f>
        <v>1</v>
      </c>
      <c r="E100" s="42">
        <f>SUMIF(Sales!A:A,Stock!B100,Sales!D:D)</f>
        <v>2</v>
      </c>
      <c r="F100" s="42">
        <f t="shared" si="1"/>
        <v>-1</v>
      </c>
    </row>
    <row r="101" spans="2:6" x14ac:dyDescent="0.3">
      <c r="B101" s="42">
        <f>IF(Setup!$B$3:$B$324&lt;&gt;"",Setup!$B$3:$B$324,"")</f>
        <v>1133</v>
      </c>
      <c r="C101" s="46" t="str">
        <f>IF(Setup!$C$3:$C$324&lt;&gt;"",Setup!$C$3:$C$324,"")</f>
        <v>Multiplug (4 Point)</v>
      </c>
      <c r="D101" s="42">
        <f t="array" ref="D101">SUM(IF(B101=Setup!$B$3:$B$1022,Setup!$D$3:$D$1022))</f>
        <v>3</v>
      </c>
      <c r="E101" s="42">
        <f>SUMIF(Sales!A:A,Stock!B101,Sales!D:D)</f>
        <v>3</v>
      </c>
      <c r="F101" s="42">
        <f t="shared" si="1"/>
        <v>0</v>
      </c>
    </row>
    <row r="102" spans="2:6" x14ac:dyDescent="0.3">
      <c r="B102" s="42">
        <f>IF(Setup!$B$3:$B$324&lt;&gt;"",Setup!$B$3:$B$324,"")</f>
        <v>1134</v>
      </c>
      <c r="C102" s="46" t="str">
        <f>IF(Setup!$C$3:$C$324&lt;&gt;"",Setup!$C$3:$C$324,"")</f>
        <v>Multiplug (5 Point)</v>
      </c>
      <c r="D102" s="42">
        <f t="array" ref="D102">SUM(IF(B102=Setup!$B$3:$B$1022,Setup!$D$3:$D$1022))</f>
        <v>10</v>
      </c>
      <c r="E102" s="42">
        <f>SUMIF(Sales!A:A,Stock!B102,Sales!D:D)</f>
        <v>12</v>
      </c>
      <c r="F102" s="42">
        <f t="shared" si="1"/>
        <v>-2</v>
      </c>
    </row>
    <row r="103" spans="2:6" x14ac:dyDescent="0.3">
      <c r="B103" s="42">
        <f>IF(Setup!$B$3:$B$324&lt;&gt;"",Setup!$B$3:$B$324,"")</f>
        <v>1201</v>
      </c>
      <c r="C103" s="46" t="str">
        <f>IF(Setup!$C$3:$C$324&lt;&gt;"",Setup!$C$3:$C$324,"")</f>
        <v>TV (24") - Rangs, RL-24G302</v>
      </c>
      <c r="D103" s="42">
        <f t="array" ref="D103">SUM(IF(B103=Setup!$B$3:$B$1022,Setup!$D$3:$D$1022))</f>
        <v>68</v>
      </c>
      <c r="E103" s="42">
        <f>SUMIF(Sales!A:A,Stock!B103,Sales!D:D)</f>
        <v>61</v>
      </c>
      <c r="F103" s="42">
        <f t="shared" si="1"/>
        <v>7</v>
      </c>
    </row>
    <row r="104" spans="2:6" x14ac:dyDescent="0.3">
      <c r="B104" s="42">
        <f>IF(Setup!$B$3:$B$324&lt;&gt;"",Setup!$B$3:$B$324,"")</f>
        <v>1202</v>
      </c>
      <c r="C104" s="46" t="str">
        <f>IF(Setup!$C$3:$C$324&lt;&gt;"",Setup!$C$3:$C$324,"")</f>
        <v>Wifi Router (AP)</v>
      </c>
      <c r="D104" s="42">
        <f t="array" ref="D104">SUM(IF(B104=Setup!$B$3:$B$1022,Setup!$D$3:$D$1022))</f>
        <v>0</v>
      </c>
      <c r="E104" s="42">
        <f>SUMIF(Sales!A:A,Stock!B104,Sales!D:D)</f>
        <v>0</v>
      </c>
      <c r="F104" s="42">
        <f t="shared" si="1"/>
        <v>0</v>
      </c>
    </row>
    <row r="105" spans="2:6" x14ac:dyDescent="0.3">
      <c r="B105" s="42">
        <f>IF(Setup!$B$3:$B$324&lt;&gt;"",Setup!$B$3:$B$324,"")</f>
        <v>1203</v>
      </c>
      <c r="C105" s="46" t="str">
        <f>IF(Setup!$C$3:$C$324&lt;&gt;"",Setup!$C$3:$C$324,"")</f>
        <v xml:space="preserve">Booth Microphone </v>
      </c>
      <c r="D105" s="42">
        <f t="array" ref="D105">SUM(IF(B105=Setup!$B$3:$B$1022,Setup!$D$3:$D$1022))</f>
        <v>0</v>
      </c>
      <c r="E105" s="42">
        <f>SUMIF(Sales!A:A,Stock!B105,Sales!D:D)</f>
        <v>0</v>
      </c>
      <c r="F105" s="42">
        <f t="shared" si="1"/>
        <v>0</v>
      </c>
    </row>
    <row r="106" spans="2:6" x14ac:dyDescent="0.3">
      <c r="B106" s="42">
        <f>IF(Setup!$B$3:$B$324&lt;&gt;"",Setup!$B$3:$B$324,"")</f>
        <v>1204</v>
      </c>
      <c r="C106" s="46" t="str">
        <f>IF(Setup!$C$3:$C$324&lt;&gt;"",Setup!$C$3:$C$324,"")</f>
        <v>CAT-6, Coaxial RG-6/11,  TEL Pair Cables</v>
      </c>
      <c r="D106" s="42">
        <f t="array" ref="D106">SUM(IF(B106=Setup!$B$3:$B$1022,Setup!$D$3:$D$1022))</f>
        <v>0</v>
      </c>
      <c r="E106" s="42">
        <f>SUMIF(Sales!A:A,Stock!B106,Sales!D:D)</f>
        <v>0</v>
      </c>
      <c r="F106" s="42">
        <f t="shared" si="1"/>
        <v>0</v>
      </c>
    </row>
    <row r="107" spans="2:6" x14ac:dyDescent="0.3">
      <c r="B107" s="42">
        <f>IF(Setup!$B$3:$B$324&lt;&gt;"",Setup!$B$3:$B$324,"")</f>
        <v>1301</v>
      </c>
      <c r="C107" s="46" t="str">
        <f>IF(Setup!$C$3:$C$324&lt;&gt;"",Setup!$C$3:$C$324,"")</f>
        <v>DB Box - Small (Walton) (New)</v>
      </c>
      <c r="D107" s="42">
        <f t="array" ref="D107">SUM(IF(B107=Setup!$B$3:$B$1022,Setup!$D$3:$D$1022))</f>
        <v>0</v>
      </c>
      <c r="E107" s="42">
        <f>SUMIF(Sales!A:A,Stock!B107,Sales!D:D)</f>
        <v>0</v>
      </c>
      <c r="F107" s="42">
        <f t="shared" si="1"/>
        <v>0</v>
      </c>
    </row>
    <row r="108" spans="2:6" x14ac:dyDescent="0.3">
      <c r="B108" s="42">
        <f>IF(Setup!$B$3:$B$324&lt;&gt;"",Setup!$B$3:$B$324,"")</f>
        <v>1302</v>
      </c>
      <c r="C108" s="46" t="str">
        <f>IF(Setup!$C$3:$C$324&lt;&gt;"",Setup!$C$3:$C$324,"")</f>
        <v>DB Box - Small (Walton) (Used)</v>
      </c>
      <c r="D108" s="42">
        <f t="array" ref="D108">SUM(IF(B108=Setup!$B$3:$B$1022,Setup!$D$3:$D$1022))</f>
        <v>0</v>
      </c>
      <c r="E108" s="42">
        <f>SUMIF(Sales!A:A,Stock!B108,Sales!D:D)</f>
        <v>0</v>
      </c>
      <c r="F108" s="42">
        <f t="shared" si="1"/>
        <v>0</v>
      </c>
    </row>
    <row r="109" spans="2:6" x14ac:dyDescent="0.3">
      <c r="B109" s="42">
        <f>IF(Setup!$B$3:$B$324&lt;&gt;"",Setup!$B$3:$B$324,"")</f>
        <v>1303</v>
      </c>
      <c r="C109" s="46" t="str">
        <f>IF(Setup!$C$3:$C$324&lt;&gt;"",Setup!$C$3:$C$324,"")</f>
        <v>Refreezarator- Small Size - Singer Bangladesh Limited</v>
      </c>
      <c r="D109" s="42">
        <f t="array" ref="D109">SUM(IF(B109=Setup!$B$3:$B$1022,Setup!$D$3:$D$1022))</f>
        <v>1</v>
      </c>
      <c r="E109" s="42">
        <f>SUMIF(Sales!A:A,Stock!B109,Sales!D:D)</f>
        <v>1</v>
      </c>
      <c r="F109" s="42">
        <f t="shared" si="1"/>
        <v>0</v>
      </c>
    </row>
    <row r="110" spans="2:6" x14ac:dyDescent="0.3">
      <c r="B110" s="42">
        <f>IF(Setup!$B$3:$B$324&lt;&gt;"",Setup!$B$3:$B$324,"")</f>
        <v>1304</v>
      </c>
      <c r="C110" s="46" t="str">
        <f>IF(Setup!$C$3:$C$324&lt;&gt;"",Setup!$C$3:$C$324,"")</f>
        <v>Portable Speaker</v>
      </c>
      <c r="D110" s="42">
        <f t="array" ref="D110">SUM(IF(B110=Setup!$B$3:$B$1022,Setup!$D$3:$D$1022))</f>
        <v>0</v>
      </c>
      <c r="E110" s="42">
        <f>SUMIF(Sales!A:A,Stock!B110,Sales!D:D)</f>
        <v>0</v>
      </c>
      <c r="F110" s="42">
        <f t="shared" si="1"/>
        <v>0</v>
      </c>
    </row>
    <row r="111" spans="2:6" x14ac:dyDescent="0.3">
      <c r="B111" s="42">
        <f>IF(Setup!$B$3:$B$324&lt;&gt;"",Setup!$B$3:$B$324,"")</f>
        <v>1305</v>
      </c>
      <c r="C111" s="46" t="str">
        <f>IF(Setup!$C$3:$C$324&lt;&gt;"",Setup!$C$3:$C$324,"")</f>
        <v>Pen Holder for TV Remote-1</v>
      </c>
      <c r="D111" s="42">
        <f t="array" ref="D111">SUM(IF(B111=Setup!$B$3:$B$1022,Setup!$D$3:$D$1022))</f>
        <v>0</v>
      </c>
      <c r="E111" s="42">
        <f>SUMIF(Sales!A:A,Stock!B111,Sales!D:D)</f>
        <v>0</v>
      </c>
      <c r="F111" s="42">
        <f t="shared" si="1"/>
        <v>0</v>
      </c>
    </row>
    <row r="112" spans="2:6" x14ac:dyDescent="0.3">
      <c r="B112" s="42">
        <f>IF(Setup!$B$3:$B$324&lt;&gt;"",Setup!$B$3:$B$324,"")</f>
        <v>1306</v>
      </c>
      <c r="C112" s="46" t="str">
        <f>IF(Setup!$C$3:$C$324&lt;&gt;"",Setup!$C$3:$C$324,"")</f>
        <v>Pen Holder for TV Remote-2</v>
      </c>
      <c r="D112" s="42">
        <f t="array" ref="D112">SUM(IF(B112=Setup!$B$3:$B$1022,Setup!$D$3:$D$1022))</f>
        <v>0</v>
      </c>
      <c r="E112" s="42">
        <f>SUMIF(Sales!A:A,Stock!B112,Sales!D:D)</f>
        <v>0</v>
      </c>
      <c r="F112" s="42">
        <f t="shared" si="1"/>
        <v>0</v>
      </c>
    </row>
    <row r="113" spans="2:6" x14ac:dyDescent="0.3">
      <c r="B113" s="42">
        <f>IF(Setup!$B$3:$B$324&lt;&gt;"",Setup!$B$3:$B$324,"")</f>
        <v>1307</v>
      </c>
      <c r="C113" s="46" t="str">
        <f>IF(Setup!$C$3:$C$324&lt;&gt;"",Setup!$C$3:$C$324,"")</f>
        <v>HDMI Cable</v>
      </c>
      <c r="D113" s="42">
        <f t="array" ref="D113">SUM(IF(B113=Setup!$B$3:$B$1022,Setup!$D$3:$D$1022))</f>
        <v>0</v>
      </c>
      <c r="E113" s="42">
        <f>SUMIF(Sales!A:A,Stock!B113,Sales!D:D)</f>
        <v>0</v>
      </c>
      <c r="F113" s="42">
        <f t="shared" si="1"/>
        <v>0</v>
      </c>
    </row>
    <row r="114" spans="2:6" x14ac:dyDescent="0.3">
      <c r="B114" s="42">
        <f>IF(Setup!$B$3:$B$324&lt;&gt;"",Setup!$B$3:$B$324,"")</f>
        <v>1308</v>
      </c>
      <c r="C114" s="46" t="str">
        <f>IF(Setup!$C$3:$C$324&lt;&gt;"",Setup!$C$3:$C$324,"")</f>
        <v>Pendrive for official purpose</v>
      </c>
      <c r="D114" s="42">
        <f t="array" ref="D114">SUM(IF(B114=Setup!$B$3:$B$1022,Setup!$D$3:$D$1022))</f>
        <v>1</v>
      </c>
      <c r="E114" s="42">
        <f>SUMIF(Sales!A:A,Stock!B114,Sales!D:D)</f>
        <v>1</v>
      </c>
      <c r="F114" s="42">
        <f t="shared" si="1"/>
        <v>0</v>
      </c>
    </row>
    <row r="115" spans="2:6" x14ac:dyDescent="0.3">
      <c r="B115" s="42">
        <f>IF(Setup!$B$3:$B$324&lt;&gt;"",Setup!$B$3:$B$324,"")</f>
        <v>1309</v>
      </c>
      <c r="C115" s="46" t="str">
        <f>IF(Setup!$C$3:$C$324&lt;&gt;"",Setup!$C$3:$C$324,"")</f>
        <v>Thermal Sensor for DB Boards</v>
      </c>
      <c r="D115" s="42">
        <f t="array" ref="D115">SUM(IF(B115=Setup!$B$3:$B$1022,Setup!$D$3:$D$1022))</f>
        <v>1</v>
      </c>
      <c r="E115" s="42">
        <f>SUMIF(Sales!A:A,Stock!B115,Sales!D:D)</f>
        <v>1</v>
      </c>
      <c r="F115" s="42">
        <f t="shared" si="1"/>
        <v>0</v>
      </c>
    </row>
    <row r="116" spans="2:6" x14ac:dyDescent="0.3">
      <c r="B116" s="42">
        <f>IF(Setup!$B$3:$B$324&lt;&gt;"",Setup!$B$3:$B$324,"")</f>
        <v>1310</v>
      </c>
      <c r="C116" s="46" t="str">
        <f>IF(Setup!$C$3:$C$324&lt;&gt;"",Setup!$C$3:$C$324,"")</f>
        <v>Wall Clock-1</v>
      </c>
      <c r="D116" s="42">
        <f t="array" ref="D116">SUM(IF(B116=Setup!$B$3:$B$1022,Setup!$D$3:$D$1022))</f>
        <v>0</v>
      </c>
      <c r="E116" s="42">
        <f>SUMIF(Sales!A:A,Stock!B116,Sales!D:D)</f>
        <v>1</v>
      </c>
      <c r="F116" s="42">
        <f t="shared" si="1"/>
        <v>-1</v>
      </c>
    </row>
    <row r="117" spans="2:6" x14ac:dyDescent="0.3">
      <c r="B117" s="42">
        <f>IF(Setup!$B$3:$B$324&lt;&gt;"",Setup!$B$3:$B$324,"")</f>
        <v>1311</v>
      </c>
      <c r="C117" s="46" t="str">
        <f>IF(Setup!$C$3:$C$324&lt;&gt;"",Setup!$C$3:$C$324,"")</f>
        <v>Wall Clock-2</v>
      </c>
      <c r="D117" s="42">
        <f t="array" ref="D117">SUM(IF(B117=Setup!$B$3:$B$1022,Setup!$D$3:$D$1022))</f>
        <v>3</v>
      </c>
      <c r="E117" s="42">
        <f>SUMIF(Sales!A:A,Stock!B117,Sales!D:D)</f>
        <v>2</v>
      </c>
      <c r="F117" s="42">
        <f t="shared" si="1"/>
        <v>1</v>
      </c>
    </row>
    <row r="118" spans="2:6" x14ac:dyDescent="0.3">
      <c r="B118" s="42">
        <f>IF(Setup!$B$3:$B$324&lt;&gt;"",Setup!$B$3:$B$324,"")</f>
        <v>1312</v>
      </c>
      <c r="C118" s="46" t="str">
        <f>IF(Setup!$C$3:$C$324&lt;&gt;"",Setup!$C$3:$C$324,"")</f>
        <v>Wall Clock-3</v>
      </c>
      <c r="D118" s="42">
        <f t="array" ref="D118">SUM(IF(B118=Setup!$B$3:$B$1022,Setup!$D$3:$D$1022))</f>
        <v>2</v>
      </c>
      <c r="E118" s="42">
        <f>SUMIF(Sales!A:A,Stock!B118,Sales!D:D)</f>
        <v>3</v>
      </c>
      <c r="F118" s="42">
        <f t="shared" si="1"/>
        <v>-1</v>
      </c>
    </row>
    <row r="119" spans="2:6" x14ac:dyDescent="0.3">
      <c r="B119" s="42">
        <f>IF(Setup!$B$3:$B$324&lt;&gt;"",Setup!$B$3:$B$324,"")</f>
        <v>1313</v>
      </c>
      <c r="C119" s="46" t="str">
        <f>IF(Setup!$C$3:$C$324&lt;&gt;"",Setup!$C$3:$C$324,"")</f>
        <v>Presenter Logitech Wireless - Tech Express</v>
      </c>
      <c r="D119" s="42">
        <f t="array" ref="D119">SUM(IF(B119=Setup!$B$3:$B$1022,Setup!$D$3:$D$1022))</f>
        <v>0</v>
      </c>
      <c r="E119" s="42">
        <f>SUMIF(Sales!A:A,Stock!B119,Sales!D:D)</f>
        <v>0</v>
      </c>
      <c r="F119" s="42">
        <f t="shared" si="1"/>
        <v>0</v>
      </c>
    </row>
    <row r="120" spans="2:6" x14ac:dyDescent="0.3">
      <c r="B120" s="42">
        <f>IF(Setup!$B$3:$B$324&lt;&gt;"",Setup!$B$3:$B$324,"")</f>
        <v>1314</v>
      </c>
      <c r="C120" s="46" t="str">
        <f>IF(Setup!$C$3:$C$324&lt;&gt;"",Setup!$C$3:$C$324,"")</f>
        <v>Rechargeable Battery &amp; Charger for Sound box Mic Speaker</v>
      </c>
      <c r="D120" s="42">
        <f t="array" ref="D120">SUM(IF(B120=Setup!$B$3:$B$1022,Setup!$D$3:$D$1022))</f>
        <v>1</v>
      </c>
      <c r="E120" s="42">
        <f>SUMIF(Sales!A:A,Stock!B120,Sales!D:D)</f>
        <v>1</v>
      </c>
      <c r="F120" s="42">
        <f t="shared" si="1"/>
        <v>0</v>
      </c>
    </row>
    <row r="121" spans="2:6" x14ac:dyDescent="0.3">
      <c r="B121" s="42">
        <f>IF(Setup!$B$3:$B$324&lt;&gt;"",Setup!$B$3:$B$324,"")</f>
        <v>1315</v>
      </c>
      <c r="C121" s="46" t="str">
        <f>IF(Setup!$C$3:$C$324&lt;&gt;"",Setup!$C$3:$C$324,"")</f>
        <v>Jacket for Fire Drill</v>
      </c>
      <c r="D121" s="42">
        <f t="array" ref="D121">SUM(IF(B121=Setup!$B$3:$B$1022,Setup!$D$3:$D$1022))</f>
        <v>0</v>
      </c>
      <c r="E121" s="42">
        <f>SUMIF(Sales!A:A,Stock!B121,Sales!D:D)</f>
        <v>0</v>
      </c>
      <c r="F121" s="42">
        <f t="shared" si="1"/>
        <v>0</v>
      </c>
    </row>
    <row r="122" spans="2:6" x14ac:dyDescent="0.3">
      <c r="B122" s="42">
        <f>IF(Setup!$B$3:$B$324&lt;&gt;"",Setup!$B$3:$B$324,"")</f>
        <v>1316</v>
      </c>
      <c r="C122" s="46" t="str">
        <f>IF(Setup!$C$3:$C$324&lt;&gt;"",Setup!$C$3:$C$324,"")</f>
        <v>Helmet for Fire Drill</v>
      </c>
      <c r="D122" s="42">
        <f t="array" ref="D122">SUM(IF(B122=Setup!$B$3:$B$1022,Setup!$D$3:$D$1022))</f>
        <v>0</v>
      </c>
      <c r="E122" s="42">
        <f>SUMIF(Sales!A:A,Stock!B122,Sales!D:D)</f>
        <v>0</v>
      </c>
      <c r="F122" s="42">
        <f t="shared" si="1"/>
        <v>0</v>
      </c>
    </row>
    <row r="123" spans="2:6" x14ac:dyDescent="0.3">
      <c r="B123" s="42">
        <f>IF(Setup!$B$3:$B$324&lt;&gt;"",Setup!$B$3:$B$324,"")</f>
        <v>1317</v>
      </c>
      <c r="C123" s="46" t="str">
        <f>IF(Setup!$C$3:$C$324&lt;&gt;"",Setup!$C$3:$C$324,"")</f>
        <v>Big Pan (for Fire Drill)</v>
      </c>
      <c r="D123" s="42">
        <f t="array" ref="D123">SUM(IF(B123=Setup!$B$3:$B$1022,Setup!$D$3:$D$1022))</f>
        <v>0</v>
      </c>
      <c r="E123" s="42">
        <f>SUMIF(Sales!A:A,Stock!B123,Sales!D:D)</f>
        <v>0</v>
      </c>
      <c r="F123" s="42">
        <f t="shared" si="1"/>
        <v>0</v>
      </c>
    </row>
    <row r="124" spans="2:6" x14ac:dyDescent="0.3">
      <c r="B124" s="42">
        <f>IF(Setup!$B$3:$B$324&lt;&gt;"",Setup!$B$3:$B$324,"")</f>
        <v>1318</v>
      </c>
      <c r="C124" s="46" t="str">
        <f>IF(Setup!$C$3:$C$324&lt;&gt;"",Setup!$C$3:$C$324,"")</f>
        <v>Cutting Plier for various use</v>
      </c>
      <c r="D124" s="42">
        <f t="array" ref="D124">SUM(IF(B124=Setup!$B$3:$B$1022,Setup!$D$3:$D$1022))</f>
        <v>1</v>
      </c>
      <c r="E124" s="42">
        <f>SUMIF(Sales!A:A,Stock!B124,Sales!D:D)</f>
        <v>1</v>
      </c>
      <c r="F124" s="42">
        <f t="shared" si="1"/>
        <v>0</v>
      </c>
    </row>
    <row r="125" spans="2:6" x14ac:dyDescent="0.3">
      <c r="B125" s="42">
        <f>IF(Setup!$B$3:$B$324&lt;&gt;"",Setup!$B$3:$B$324,"")</f>
        <v>1319</v>
      </c>
      <c r="C125" s="46" t="str">
        <f>IF(Setup!$C$3:$C$324&lt;&gt;"",Setup!$C$3:$C$324,"")</f>
        <v>Screwdriver for various use</v>
      </c>
      <c r="D125" s="42">
        <f t="array" ref="D125">SUM(IF(B125=Setup!$B$3:$B$1022,Setup!$D$3:$D$1022))</f>
        <v>1</v>
      </c>
      <c r="E125" s="42">
        <f>SUMIF(Sales!A:A,Stock!B125,Sales!D:D)</f>
        <v>1</v>
      </c>
      <c r="F125" s="42">
        <f t="shared" si="1"/>
        <v>0</v>
      </c>
    </row>
    <row r="126" spans="2:6" x14ac:dyDescent="0.3">
      <c r="B126" s="42">
        <f>IF(Setup!$B$3:$B$324&lt;&gt;"",Setup!$B$3:$B$324,"")</f>
        <v>1320</v>
      </c>
      <c r="C126" s="46" t="str">
        <f>IF(Setup!$C$3:$C$324&lt;&gt;"",Setup!$C$3:$C$324,"")</f>
        <v xml:space="preserve">Torch light </v>
      </c>
      <c r="D126" s="42">
        <f t="array" ref="D126">SUM(IF(B126=Setup!$B$3:$B$1022,Setup!$D$3:$D$1022))</f>
        <v>0</v>
      </c>
      <c r="E126" s="42">
        <f>SUMIF(Sales!A:A,Stock!B126,Sales!D:D)</f>
        <v>0</v>
      </c>
      <c r="F126" s="42">
        <f t="shared" si="1"/>
        <v>0</v>
      </c>
    </row>
    <row r="127" spans="2:6" x14ac:dyDescent="0.3">
      <c r="B127" s="42">
        <f>IF(Setup!$B$3:$B$324&lt;&gt;"",Setup!$B$3:$B$324,"")</f>
        <v>1321</v>
      </c>
      <c r="C127" s="46" t="str">
        <f>IF(Setup!$C$3:$C$324&lt;&gt;"",Setup!$C$3:$C$324,"")</f>
        <v>Manual sprayer machine</v>
      </c>
      <c r="D127" s="42">
        <f t="array" ref="D127">SUM(IF(B127=Setup!$B$3:$B$1022,Setup!$D$3:$D$1022))</f>
        <v>0</v>
      </c>
      <c r="E127" s="42">
        <f>SUMIF(Sales!A:A,Stock!B127,Sales!D:D)</f>
        <v>0</v>
      </c>
      <c r="F127" s="42">
        <f t="shared" si="1"/>
        <v>0</v>
      </c>
    </row>
    <row r="128" spans="2:6" x14ac:dyDescent="0.3">
      <c r="B128" s="42">
        <f>IF(Setup!$B$3:$B$324&lt;&gt;"",Setup!$B$3:$B$324,"")</f>
        <v>1401</v>
      </c>
      <c r="C128" s="46" t="str">
        <f>IF(Setup!$C$3:$C$324&lt;&gt;"",Setup!$C$3:$C$324,"")</f>
        <v>Chair</v>
      </c>
      <c r="D128" s="42">
        <f t="array" ref="D128">SUM(IF(B128=Setup!$B$3:$B$1022,Setup!$D$3:$D$1022))</f>
        <v>8</v>
      </c>
      <c r="E128" s="42">
        <f>SUMIF(Sales!A:A,Stock!B128,Sales!D:D)</f>
        <v>0</v>
      </c>
      <c r="F128" s="42">
        <f t="shared" si="1"/>
        <v>8</v>
      </c>
    </row>
    <row r="129" spans="2:6" x14ac:dyDescent="0.3">
      <c r="B129" s="42">
        <f>IF(Setup!$B$3:$B$324&lt;&gt;"",Setup!$B$3:$B$324,"")</f>
        <v>1402</v>
      </c>
      <c r="C129" s="46" t="str">
        <f>IF(Setup!$C$3:$C$324&lt;&gt;"",Setup!$C$3:$C$324,"")</f>
        <v>Dining Table with 6 chair</v>
      </c>
      <c r="D129" s="42">
        <f t="array" ref="D129">SUM(IF(B129=Setup!$B$3:$B$1022,Setup!$D$3:$D$1022))</f>
        <v>0</v>
      </c>
      <c r="E129" s="42">
        <f>SUMIF(Sales!A:A,Stock!B129,Sales!D:D)</f>
        <v>0</v>
      </c>
      <c r="F129" s="42">
        <f t="shared" si="1"/>
        <v>0</v>
      </c>
    </row>
    <row r="130" spans="2:6" x14ac:dyDescent="0.3">
      <c r="B130" s="42">
        <f>IF(Setup!$B$3:$B$324&lt;&gt;"",Setup!$B$3:$B$324,"")</f>
        <v>1403</v>
      </c>
      <c r="C130" s="46" t="str">
        <f>IF(Setup!$C$3:$C$324&lt;&gt;"",Setup!$C$3:$C$324,"")</f>
        <v>Table (Small)</v>
      </c>
      <c r="D130" s="42">
        <f t="array" ref="D130">SUM(IF(B130=Setup!$B$3:$B$1022,Setup!$D$3:$D$1022))</f>
        <v>1</v>
      </c>
      <c r="E130" s="42">
        <f>SUMIF(Sales!A:A,Stock!B130,Sales!D:D)</f>
        <v>0</v>
      </c>
      <c r="F130" s="42">
        <f t="shared" si="1"/>
        <v>1</v>
      </c>
    </row>
    <row r="131" spans="2:6" x14ac:dyDescent="0.3">
      <c r="B131" s="42">
        <f>IF(Setup!$B$3:$B$324&lt;&gt;"",Setup!$B$3:$B$324,"")</f>
        <v>1404</v>
      </c>
      <c r="C131" s="46" t="str">
        <f>IF(Setup!$C$3:$C$324&lt;&gt;"",Setup!$C$3:$C$324,"")</f>
        <v>Table (Large)</v>
      </c>
      <c r="D131" s="42">
        <f t="array" ref="D131">SUM(IF(B131=Setup!$B$3:$B$1022,Setup!$D$3:$D$1022))</f>
        <v>0</v>
      </c>
      <c r="E131" s="42">
        <f>SUMIF(Sales!A:A,Stock!B131,Sales!D:D)</f>
        <v>0</v>
      </c>
      <c r="F131" s="42">
        <f t="shared" ref="F131:F194" si="2">+D131-E131</f>
        <v>0</v>
      </c>
    </row>
    <row r="132" spans="2:6" x14ac:dyDescent="0.3">
      <c r="B132" s="42">
        <f>IF(Setup!$B$3:$B$324&lt;&gt;"",Setup!$B$3:$B$324,"")</f>
        <v>1405</v>
      </c>
      <c r="C132" s="46" t="str">
        <f>IF(Setup!$C$3:$C$324&lt;&gt;"",Setup!$C$3:$C$324,"")</f>
        <v>Marble Table</v>
      </c>
      <c r="D132" s="42">
        <f t="array" ref="D132">SUM(IF(B132=Setup!$B$3:$B$1022,Setup!$D$3:$D$1022))</f>
        <v>0</v>
      </c>
      <c r="E132" s="42">
        <f>SUMIF(Sales!A:A,Stock!B132,Sales!D:D)</f>
        <v>0</v>
      </c>
      <c r="F132" s="42">
        <f t="shared" si="2"/>
        <v>0</v>
      </c>
    </row>
    <row r="133" spans="2:6" x14ac:dyDescent="0.3">
      <c r="B133" s="42">
        <f>IF(Setup!$B$3:$B$324&lt;&gt;"",Setup!$B$3:$B$324,"")</f>
        <v>1406</v>
      </c>
      <c r="C133" s="46" t="str">
        <f>IF(Setup!$C$3:$C$324&lt;&gt;"",Setup!$C$3:$C$324,"")</f>
        <v>Cabinet</v>
      </c>
      <c r="D133" s="42">
        <f t="array" ref="D133">SUM(IF(B133=Setup!$B$3:$B$1022,Setup!$D$3:$D$1022))</f>
        <v>0</v>
      </c>
      <c r="E133" s="42">
        <f>SUMIF(Sales!A:A,Stock!B133,Sales!D:D)</f>
        <v>0</v>
      </c>
      <c r="F133" s="42">
        <f t="shared" si="2"/>
        <v>0</v>
      </c>
    </row>
    <row r="134" spans="2:6" x14ac:dyDescent="0.3">
      <c r="B134" s="42">
        <f>IF(Setup!$B$3:$B$324&lt;&gt;"",Setup!$B$3:$B$324,"")</f>
        <v>1407</v>
      </c>
      <c r="C134" s="46" t="str">
        <f>IF(Setup!$C$3:$C$324&lt;&gt;"",Setup!$C$3:$C$324,"")</f>
        <v>Trolley-1</v>
      </c>
      <c r="D134" s="42">
        <f t="array" ref="D134">SUM(IF(B134=Setup!$B$3:$B$1022,Setup!$D$3:$D$1022))</f>
        <v>0</v>
      </c>
      <c r="E134" s="42">
        <f>SUMIF(Sales!A:A,Stock!B134,Sales!D:D)</f>
        <v>0</v>
      </c>
      <c r="F134" s="42">
        <f t="shared" si="2"/>
        <v>0</v>
      </c>
    </row>
    <row r="135" spans="2:6" x14ac:dyDescent="0.3">
      <c r="B135" s="42">
        <f>IF(Setup!$B$3:$B$324&lt;&gt;"",Setup!$B$3:$B$324,"")</f>
        <v>1408</v>
      </c>
      <c r="C135" s="46" t="str">
        <f>IF(Setup!$C$3:$C$324&lt;&gt;"",Setup!$C$3:$C$324,"")</f>
        <v>Trolley-2</v>
      </c>
      <c r="D135" s="42">
        <f t="array" ref="D135">SUM(IF(B135=Setup!$B$3:$B$1022,Setup!$D$3:$D$1022))</f>
        <v>0</v>
      </c>
      <c r="E135" s="42">
        <f>SUMIF(Sales!A:A,Stock!B135,Sales!D:D)</f>
        <v>0</v>
      </c>
      <c r="F135" s="42">
        <f t="shared" si="2"/>
        <v>0</v>
      </c>
    </row>
    <row r="136" spans="2:6" x14ac:dyDescent="0.3">
      <c r="B136" s="42">
        <f>IF(Setup!$B$3:$B$324&lt;&gt;"",Setup!$B$3:$B$324,"")</f>
        <v>1409</v>
      </c>
      <c r="C136" s="46" t="str">
        <f>IF(Setup!$C$3:$C$324&lt;&gt;"",Setup!$C$3:$C$324,"")</f>
        <v>Almirah</v>
      </c>
      <c r="D136" s="42">
        <f t="array" ref="D136">SUM(IF(B136=Setup!$B$3:$B$1022,Setup!$D$3:$D$1022))</f>
        <v>0</v>
      </c>
      <c r="E136" s="42">
        <f>SUMIF(Sales!A:A,Stock!B136,Sales!D:D)</f>
        <v>0</v>
      </c>
      <c r="F136" s="42">
        <f t="shared" si="2"/>
        <v>0</v>
      </c>
    </row>
    <row r="137" spans="2:6" x14ac:dyDescent="0.3">
      <c r="B137" s="42">
        <f>IF(Setup!$B$3:$B$324&lt;&gt;"",Setup!$B$3:$B$324,"")</f>
        <v>1410</v>
      </c>
      <c r="C137" s="46" t="str">
        <f>IF(Setup!$C$3:$C$324&lt;&gt;"",Setup!$C$3:$C$324,"")</f>
        <v>Bucket</v>
      </c>
      <c r="D137" s="42">
        <f t="array" ref="D137">SUM(IF(B137=Setup!$B$3:$B$1022,Setup!$D$3:$D$1022))</f>
        <v>0</v>
      </c>
      <c r="E137" s="42">
        <f>SUMIF(Sales!A:A,Stock!B137,Sales!D:D)</f>
        <v>0</v>
      </c>
      <c r="F137" s="42">
        <f t="shared" si="2"/>
        <v>0</v>
      </c>
    </row>
    <row r="138" spans="2:6" x14ac:dyDescent="0.3">
      <c r="B138" s="42">
        <f>IF(Setup!$B$3:$B$324&lt;&gt;"",Setup!$B$3:$B$324,"")</f>
        <v>1411</v>
      </c>
      <c r="C138" s="46" t="str">
        <f>IF(Setup!$C$3:$C$324&lt;&gt;"",Setup!$C$3:$C$324,"")</f>
        <v>Mug</v>
      </c>
      <c r="D138" s="42">
        <f t="array" ref="D138">SUM(IF(B138=Setup!$B$3:$B$1022,Setup!$D$3:$D$1022))</f>
        <v>0</v>
      </c>
      <c r="E138" s="42">
        <f>SUMIF(Sales!A:A,Stock!B138,Sales!D:D)</f>
        <v>0</v>
      </c>
      <c r="F138" s="42">
        <f t="shared" si="2"/>
        <v>0</v>
      </c>
    </row>
    <row r="139" spans="2:6" x14ac:dyDescent="0.3">
      <c r="B139" s="42">
        <f>IF(Setup!$B$3:$B$324&lt;&gt;"",Setup!$B$3:$B$324,"")</f>
        <v>1412</v>
      </c>
      <c r="C139" s="46" t="str">
        <f>IF(Setup!$C$3:$C$324&lt;&gt;"",Setup!$C$3:$C$324,"")</f>
        <v>Mini Drawer</v>
      </c>
      <c r="D139" s="42">
        <f t="array" ref="D139">SUM(IF(B139=Setup!$B$3:$B$1022,Setup!$D$3:$D$1022))</f>
        <v>0</v>
      </c>
      <c r="E139" s="42">
        <f>SUMIF(Sales!A:A,Stock!B139,Sales!D:D)</f>
        <v>0</v>
      </c>
      <c r="F139" s="42">
        <f t="shared" si="2"/>
        <v>0</v>
      </c>
    </row>
    <row r="140" spans="2:6" x14ac:dyDescent="0.3">
      <c r="B140" s="42">
        <f>IF(Setup!$B$3:$B$324&lt;&gt;"",Setup!$B$3:$B$324,"")</f>
        <v>1413</v>
      </c>
      <c r="C140" s="46" t="str">
        <f>IF(Setup!$C$3:$C$324&lt;&gt;"",Setup!$C$3:$C$324,"")</f>
        <v>Weight Machine</v>
      </c>
      <c r="D140" s="42">
        <f t="array" ref="D140">SUM(IF(B140=Setup!$B$3:$B$1022,Setup!$D$3:$D$1022))</f>
        <v>0</v>
      </c>
      <c r="E140" s="42">
        <f>SUMIF(Sales!A:A,Stock!B140,Sales!D:D)</f>
        <v>0</v>
      </c>
      <c r="F140" s="42">
        <f t="shared" si="2"/>
        <v>0</v>
      </c>
    </row>
    <row r="141" spans="2:6" x14ac:dyDescent="0.3">
      <c r="B141" s="42">
        <f>IF(Setup!$B$3:$B$324&lt;&gt;"",Setup!$B$3:$B$324,"")</f>
        <v>1414</v>
      </c>
      <c r="C141" s="46" t="str">
        <f>IF(Setup!$C$3:$C$324&lt;&gt;"",Setup!$C$3:$C$324,"")</f>
        <v>Iron</v>
      </c>
      <c r="D141" s="42">
        <f t="array" ref="D141">SUM(IF(B141=Setup!$B$3:$B$1022,Setup!$D$3:$D$1022))</f>
        <v>3</v>
      </c>
      <c r="E141" s="42">
        <f>SUMIF(Sales!A:A,Stock!B141,Sales!D:D)</f>
        <v>3</v>
      </c>
      <c r="F141" s="42">
        <f t="shared" si="2"/>
        <v>0</v>
      </c>
    </row>
    <row r="142" spans="2:6" x14ac:dyDescent="0.3">
      <c r="B142" s="42">
        <f>IF(Setup!$B$3:$B$324&lt;&gt;"",Setup!$B$3:$B$324,"")</f>
        <v>1415</v>
      </c>
      <c r="C142" s="46" t="str">
        <f>IF(Setup!$C$3:$C$324&lt;&gt;"",Setup!$C$3:$C$324,"")</f>
        <v>Multiplug</v>
      </c>
      <c r="D142" s="42">
        <f t="array" ref="D142">SUM(IF(B142=Setup!$B$3:$B$1022,Setup!$D$3:$D$1022))</f>
        <v>0</v>
      </c>
      <c r="E142" s="42">
        <f>SUMIF(Sales!A:A,Stock!B142,Sales!D:D)</f>
        <v>0</v>
      </c>
      <c r="F142" s="42">
        <f t="shared" si="2"/>
        <v>0</v>
      </c>
    </row>
    <row r="143" spans="2:6" x14ac:dyDescent="0.3">
      <c r="B143" s="42">
        <f>IF(Setup!$B$3:$B$324&lt;&gt;"",Setup!$B$3:$B$324,"")</f>
        <v>1416</v>
      </c>
      <c r="C143" s="46" t="str">
        <f>IF(Setup!$C$3:$C$324&lt;&gt;"",Setup!$C$3:$C$324,"")</f>
        <v>White board</v>
      </c>
      <c r="D143" s="42">
        <f t="array" ref="D143">SUM(IF(B143=Setup!$B$3:$B$1022,Setup!$D$3:$D$1022))</f>
        <v>0</v>
      </c>
      <c r="E143" s="42">
        <f>SUMIF(Sales!A:A,Stock!B143,Sales!D:D)</f>
        <v>0</v>
      </c>
      <c r="F143" s="42">
        <f t="shared" si="2"/>
        <v>0</v>
      </c>
    </row>
    <row r="144" spans="2:6" x14ac:dyDescent="0.3">
      <c r="B144" s="42">
        <f>IF(Setup!$B$3:$B$324&lt;&gt;"",Setup!$B$3:$B$324,"")</f>
        <v>1417</v>
      </c>
      <c r="C144" s="46" t="str">
        <f>IF(Setup!$C$3:$C$324&lt;&gt;"",Setup!$C$3:$C$324,"")</f>
        <v>Drinky water purifier (electric)</v>
      </c>
      <c r="D144" s="42">
        <f t="array" ref="D144">SUM(IF(B144=Setup!$B$3:$B$1022,Setup!$D$3:$D$1022))</f>
        <v>0</v>
      </c>
      <c r="E144" s="42">
        <f>SUMIF(Sales!A:A,Stock!B144,Sales!D:D)</f>
        <v>0</v>
      </c>
      <c r="F144" s="42">
        <f t="shared" si="2"/>
        <v>0</v>
      </c>
    </row>
    <row r="145" spans="2:6" x14ac:dyDescent="0.3">
      <c r="B145" s="42">
        <f>IF(Setup!$B$3:$B$324&lt;&gt;"",Setup!$B$3:$B$324,"")</f>
        <v>1418</v>
      </c>
      <c r="C145" s="46" t="str">
        <f>IF(Setup!$C$3:$C$324&lt;&gt;"",Setup!$C$3:$C$324,"")</f>
        <v>RFL plastic shoe rack</v>
      </c>
      <c r="D145" s="42">
        <f t="array" ref="D145">SUM(IF(B145=Setup!$B$3:$B$1022,Setup!$D$3:$D$1022))</f>
        <v>0</v>
      </c>
      <c r="E145" s="42">
        <f>SUMIF(Sales!A:A,Stock!B145,Sales!D:D)</f>
        <v>0</v>
      </c>
      <c r="F145" s="42">
        <f t="shared" si="2"/>
        <v>0</v>
      </c>
    </row>
    <row r="146" spans="2:6" x14ac:dyDescent="0.3">
      <c r="B146" s="42">
        <f>IF(Setup!$B$3:$B$324&lt;&gt;"",Setup!$B$3:$B$324,"")</f>
        <v>1419</v>
      </c>
      <c r="C146" s="46" t="str">
        <f>IF(Setup!$C$3:$C$324&lt;&gt;"",Setup!$C$3:$C$324,"")</f>
        <v>Vision electric kettle</v>
      </c>
      <c r="D146" s="42">
        <f t="array" ref="D146">SUM(IF(B146=Setup!$B$3:$B$1022,Setup!$D$3:$D$1022))</f>
        <v>0</v>
      </c>
      <c r="E146" s="42">
        <f>SUMIF(Sales!A:A,Stock!B146,Sales!D:D)</f>
        <v>0</v>
      </c>
      <c r="F146" s="42">
        <f t="shared" si="2"/>
        <v>0</v>
      </c>
    </row>
    <row r="147" spans="2:6" x14ac:dyDescent="0.3">
      <c r="B147" s="42">
        <f>IF(Setup!$B$3:$B$324&lt;&gt;"",Setup!$B$3:$B$324,"")</f>
        <v>1420</v>
      </c>
      <c r="C147" s="46" t="str">
        <f>IF(Setup!$C$3:$C$324&lt;&gt;"",Setup!$C$3:$C$324,"")</f>
        <v>AIRPOT happy lion flask - 3 litre</v>
      </c>
      <c r="D147" s="42">
        <f t="array" ref="D147">SUM(IF(B147=Setup!$B$3:$B$1022,Setup!$D$3:$D$1022))</f>
        <v>0</v>
      </c>
      <c r="E147" s="42">
        <f>SUMIF(Sales!A:A,Stock!B147,Sales!D:D)</f>
        <v>0</v>
      </c>
      <c r="F147" s="42">
        <f t="shared" si="2"/>
        <v>0</v>
      </c>
    </row>
    <row r="148" spans="2:6" x14ac:dyDescent="0.3">
      <c r="B148" s="42">
        <f>IF(Setup!$B$3:$B$324&lt;&gt;"",Setup!$B$3:$B$324,"")</f>
        <v>1421</v>
      </c>
      <c r="C148" s="46" t="str">
        <f>IF(Setup!$C$3:$C$324&lt;&gt;"",Setup!$C$3:$C$324,"")</f>
        <v>Tool</v>
      </c>
      <c r="D148" s="42">
        <f t="array" ref="D148">SUM(IF(B148=Setup!$B$3:$B$1022,Setup!$D$3:$D$1022))</f>
        <v>3</v>
      </c>
      <c r="E148" s="42">
        <f>SUMIF(Sales!A:A,Stock!B148,Sales!D:D)</f>
        <v>2</v>
      </c>
      <c r="F148" s="42">
        <f t="shared" si="2"/>
        <v>1</v>
      </c>
    </row>
    <row r="149" spans="2:6" x14ac:dyDescent="0.3">
      <c r="B149" s="42">
        <f>IF(Setup!$B$3:$B$324&lt;&gt;"",Setup!$B$3:$B$324,"")</f>
        <v>1422</v>
      </c>
      <c r="C149" s="46" t="str">
        <f>IF(Setup!$C$3:$C$324&lt;&gt;"",Setup!$C$3:$C$324,"")</f>
        <v>Plastic Box</v>
      </c>
      <c r="D149" s="42">
        <f t="array" ref="D149">SUM(IF(B149=Setup!$B$3:$B$1022,Setup!$D$3:$D$1022))</f>
        <v>2</v>
      </c>
      <c r="E149" s="42">
        <f>SUMIF(Sales!A:A,Stock!B149,Sales!D:D)</f>
        <v>5</v>
      </c>
      <c r="F149" s="42">
        <f t="shared" si="2"/>
        <v>-3</v>
      </c>
    </row>
    <row r="150" spans="2:6" x14ac:dyDescent="0.3">
      <c r="B150" s="42">
        <f>IF(Setup!$B$3:$B$324&lt;&gt;"",Setup!$B$3:$B$324,"")</f>
        <v>1423</v>
      </c>
      <c r="C150" s="46" t="str">
        <f>IF(Setup!$C$3:$C$324&lt;&gt;"",Setup!$C$3:$C$324,"")</f>
        <v>Water heater</v>
      </c>
      <c r="D150" s="42">
        <f t="array" ref="D150">SUM(IF(B150=Setup!$B$3:$B$1022,Setup!$D$3:$D$1022))</f>
        <v>0</v>
      </c>
      <c r="E150" s="42">
        <f>SUMIF(Sales!A:A,Stock!B150,Sales!D:D)</f>
        <v>0</v>
      </c>
      <c r="F150" s="42">
        <f t="shared" si="2"/>
        <v>0</v>
      </c>
    </row>
    <row r="151" spans="2:6" x14ac:dyDescent="0.3">
      <c r="B151" s="42">
        <f>IF(Setup!$B$3:$B$324&lt;&gt;"",Setup!$B$3:$B$324,"")</f>
        <v>1424</v>
      </c>
      <c r="C151" s="46" t="str">
        <f>IF(Setup!$C$3:$C$324&lt;&gt;"",Setup!$C$3:$C$324,"")</f>
        <v>Marker</v>
      </c>
      <c r="D151" s="42">
        <f t="array" ref="D151">SUM(IF(B151=Setup!$B$3:$B$1022,Setup!$D$3:$D$1022))</f>
        <v>0</v>
      </c>
      <c r="E151" s="42">
        <f>SUMIF(Sales!A:A,Stock!B151,Sales!D:D)</f>
        <v>0</v>
      </c>
      <c r="F151" s="42">
        <f t="shared" si="2"/>
        <v>0</v>
      </c>
    </row>
    <row r="152" spans="2:6" x14ac:dyDescent="0.3">
      <c r="B152" s="42">
        <f>IF(Setup!$B$3:$B$324&lt;&gt;"",Setup!$B$3:$B$324,"")</f>
        <v>1425</v>
      </c>
      <c r="C152" s="46" t="str">
        <f>IF(Setup!$C$3:$C$324&lt;&gt;"",Setup!$C$3:$C$324,"")</f>
        <v>Highlighter</v>
      </c>
      <c r="D152" s="42">
        <f t="array" ref="D152">SUM(IF(B152=Setup!$B$3:$B$1022,Setup!$D$3:$D$1022))</f>
        <v>0</v>
      </c>
      <c r="E152" s="42">
        <f>SUMIF(Sales!A:A,Stock!B152,Sales!D:D)</f>
        <v>0</v>
      </c>
      <c r="F152" s="42">
        <f t="shared" si="2"/>
        <v>0</v>
      </c>
    </row>
    <row r="153" spans="2:6" x14ac:dyDescent="0.3">
      <c r="B153" s="42">
        <f>IF(Setup!$B$3:$B$324&lt;&gt;"",Setup!$B$3:$B$324,"")</f>
        <v>1426</v>
      </c>
      <c r="C153" s="46" t="str">
        <f>IF(Setup!$C$3:$C$324&lt;&gt;"",Setup!$C$3:$C$324,"")</f>
        <v>Bin</v>
      </c>
      <c r="D153" s="42">
        <f t="array" ref="D153">SUM(IF(B153=Setup!$B$3:$B$1022,Setup!$D$3:$D$1022))</f>
        <v>0</v>
      </c>
      <c r="E153" s="42">
        <f>SUMIF(Sales!A:A,Stock!B153,Sales!D:D)</f>
        <v>0</v>
      </c>
      <c r="F153" s="42">
        <f t="shared" si="2"/>
        <v>0</v>
      </c>
    </row>
    <row r="154" spans="2:6" x14ac:dyDescent="0.3">
      <c r="B154" s="42">
        <f>IF(Setup!$B$3:$B$324&lt;&gt;"",Setup!$B$3:$B$324,"")</f>
        <v>1427</v>
      </c>
      <c r="C154" s="46" t="str">
        <f>IF(Setup!$C$3:$C$324&lt;&gt;"",Setup!$C$3:$C$324,"")</f>
        <v>Paddle Bin</v>
      </c>
      <c r="D154" s="42">
        <f t="array" ref="D154">SUM(IF(B154=Setup!$B$3:$B$1022,Setup!$D$3:$D$1022))</f>
        <v>0</v>
      </c>
      <c r="E154" s="42">
        <f>SUMIF(Sales!A:A,Stock!B154,Sales!D:D)</f>
        <v>0</v>
      </c>
      <c r="F154" s="42">
        <f t="shared" si="2"/>
        <v>0</v>
      </c>
    </row>
    <row r="155" spans="2:6" x14ac:dyDescent="0.3">
      <c r="B155" s="42">
        <f>IF(Setup!$B$3:$B$324&lt;&gt;"",Setup!$B$3:$B$324,"")</f>
        <v>1428</v>
      </c>
      <c r="C155" s="46" t="str">
        <f>IF(Setup!$C$3:$C$324&lt;&gt;"",Setup!$C$3:$C$324,"")</f>
        <v>Paddle Bin (Small)</v>
      </c>
      <c r="D155" s="42">
        <f t="array" ref="D155">SUM(IF(B155=Setup!$B$3:$B$1022,Setup!$D$3:$D$1022))</f>
        <v>0</v>
      </c>
      <c r="E155" s="42">
        <f>SUMIF(Sales!A:A,Stock!B155,Sales!D:D)</f>
        <v>0</v>
      </c>
      <c r="F155" s="42">
        <f t="shared" si="2"/>
        <v>0</v>
      </c>
    </row>
    <row r="156" spans="2:6" x14ac:dyDescent="0.3">
      <c r="B156" s="42">
        <f>IF(Setup!$B$3:$B$324&lt;&gt;"",Setup!$B$3:$B$324,"")</f>
        <v>1429</v>
      </c>
      <c r="C156" s="46" t="str">
        <f>IF(Setup!$C$3:$C$324&lt;&gt;"",Setup!$C$3:$C$324,"")</f>
        <v>RFL Dish Rack Red</v>
      </c>
      <c r="D156" s="42">
        <f t="array" ref="D156">SUM(IF(B156=Setup!$B$3:$B$1022,Setup!$D$3:$D$1022))</f>
        <v>0</v>
      </c>
      <c r="E156" s="42">
        <f>SUMIF(Sales!A:A,Stock!B156,Sales!D:D)</f>
        <v>0</v>
      </c>
      <c r="F156" s="42">
        <f t="shared" si="2"/>
        <v>0</v>
      </c>
    </row>
    <row r="157" spans="2:6" x14ac:dyDescent="0.3">
      <c r="B157" s="42">
        <f>IF(Setup!$B$3:$B$324&lt;&gt;"",Setup!$B$3:$B$324,"")</f>
        <v>1430</v>
      </c>
      <c r="C157" s="46" t="str">
        <f>IF(Setup!$C$3:$C$324&lt;&gt;"",Setup!$C$3:$C$324,"")</f>
        <v>RFL Kitchen Rack</v>
      </c>
      <c r="D157" s="42">
        <f t="array" ref="D157">SUM(IF(B157=Setup!$B$3:$B$1022,Setup!$D$3:$D$1022))</f>
        <v>0</v>
      </c>
      <c r="E157" s="42">
        <f>SUMIF(Sales!A:A,Stock!B157,Sales!D:D)</f>
        <v>0</v>
      </c>
      <c r="F157" s="42">
        <f t="shared" si="2"/>
        <v>0</v>
      </c>
    </row>
    <row r="158" spans="2:6" x14ac:dyDescent="0.3">
      <c r="B158" s="42">
        <f>IF(Setup!$B$3:$B$324&lt;&gt;"",Setup!$B$3:$B$324,"")</f>
        <v>1431</v>
      </c>
      <c r="C158" s="46" t="str">
        <f>IF(Setup!$C$3:$C$324&lt;&gt;"",Setup!$C$3:$C$324,"")</f>
        <v>Luxury Chair</v>
      </c>
      <c r="D158" s="42">
        <f t="array" ref="D158">SUM(IF(B158=Setup!$B$3:$B$1022,Setup!$D$3:$D$1022))</f>
        <v>0</v>
      </c>
      <c r="E158" s="42">
        <f>SUMIF(Sales!A:A,Stock!B158,Sales!D:D)</f>
        <v>0</v>
      </c>
      <c r="F158" s="42">
        <f t="shared" si="2"/>
        <v>0</v>
      </c>
    </row>
    <row r="159" spans="2:6" x14ac:dyDescent="0.3">
      <c r="B159" s="42">
        <f>IF(Setup!$B$3:$B$324&lt;&gt;"",Setup!$B$3:$B$324,"")</f>
        <v>1501</v>
      </c>
      <c r="C159" s="46" t="str">
        <f>IF(Setup!$C$3:$C$324&lt;&gt;"",Setup!$C$3:$C$324,"")</f>
        <v>4- Gang Switch</v>
      </c>
      <c r="D159" s="42">
        <f t="array" ref="D159">SUM(IF(B159=Setup!$B$3:$B$1022,Setup!$D$3:$D$1022))</f>
        <v>0</v>
      </c>
      <c r="E159" s="42">
        <f>SUMIF(Sales!A:A,Stock!B159,Sales!D:D)</f>
        <v>1</v>
      </c>
      <c r="F159" s="42">
        <f t="shared" si="2"/>
        <v>-1</v>
      </c>
    </row>
    <row r="160" spans="2:6" x14ac:dyDescent="0.3">
      <c r="B160" s="42">
        <f>IF(Setup!$B$3:$B$324&lt;&gt;"",Setup!$B$3:$B$324,"")</f>
        <v>1502</v>
      </c>
      <c r="C160" s="46" t="str">
        <f>IF(Setup!$C$3:$C$324&lt;&gt;"",Setup!$C$3:$C$324,"")</f>
        <v>3- Gang Switch</v>
      </c>
      <c r="D160" s="42">
        <f t="array" ref="D160">SUM(IF(B160=Setup!$B$3:$B$1022,Setup!$D$3:$D$1022))</f>
        <v>0</v>
      </c>
      <c r="E160" s="42">
        <f>SUMIF(Sales!A:A,Stock!B160,Sales!D:D)</f>
        <v>4</v>
      </c>
      <c r="F160" s="42">
        <f t="shared" si="2"/>
        <v>-4</v>
      </c>
    </row>
    <row r="161" spans="2:6" x14ac:dyDescent="0.3">
      <c r="B161" s="42">
        <f>IF(Setup!$B$3:$B$324&lt;&gt;"",Setup!$B$3:$B$324,"")</f>
        <v>1503</v>
      </c>
      <c r="C161" s="46" t="str">
        <f>IF(Setup!$C$3:$C$324&lt;&gt;"",Setup!$C$3:$C$324,"")</f>
        <v>2- gang Switch</v>
      </c>
      <c r="D161" s="42">
        <f t="array" ref="D161">SUM(IF(B161=Setup!$B$3:$B$1022,Setup!$D$3:$D$1022))</f>
        <v>0</v>
      </c>
      <c r="E161" s="42">
        <f>SUMIF(Sales!A:A,Stock!B161,Sales!D:D)</f>
        <v>8</v>
      </c>
      <c r="F161" s="42">
        <f t="shared" si="2"/>
        <v>-8</v>
      </c>
    </row>
    <row r="162" spans="2:6" x14ac:dyDescent="0.3">
      <c r="B162" s="42">
        <f>IF(Setup!$B$3:$B$324&lt;&gt;"",Setup!$B$3:$B$324,"")</f>
        <v>1504</v>
      </c>
      <c r="C162" s="46" t="str">
        <f>IF(Setup!$C$3:$C$324&lt;&gt;"",Setup!$C$3:$C$324,"")</f>
        <v>MK Regulator</v>
      </c>
      <c r="D162" s="42">
        <f t="array" ref="D162">SUM(IF(B162=Setup!$B$3:$B$1022,Setup!$D$3:$D$1022))</f>
        <v>0</v>
      </c>
      <c r="E162" s="42">
        <f>SUMIF(Sales!A:A,Stock!B162,Sales!D:D)</f>
        <v>9</v>
      </c>
      <c r="F162" s="42">
        <f t="shared" si="2"/>
        <v>-9</v>
      </c>
    </row>
    <row r="163" spans="2:6" x14ac:dyDescent="0.3">
      <c r="B163" s="42">
        <f>IF(Setup!$B$3:$B$324&lt;&gt;"",Setup!$B$3:$B$324,"")</f>
        <v>1505</v>
      </c>
      <c r="C163" s="46" t="str">
        <f>IF(Setup!$C$3:$C$324&lt;&gt;"",Setup!$C$3:$C$324,"")</f>
        <v>3 pin Round Socket</v>
      </c>
      <c r="D163" s="42">
        <f t="array" ref="D163">SUM(IF(B163=Setup!$B$3:$B$1022,Setup!$D$3:$D$1022))</f>
        <v>0</v>
      </c>
      <c r="E163" s="42">
        <f>SUMIF(Sales!A:A,Stock!B163,Sales!D:D)</f>
        <v>0</v>
      </c>
      <c r="F163" s="42">
        <f t="shared" si="2"/>
        <v>0</v>
      </c>
    </row>
    <row r="164" spans="2:6" x14ac:dyDescent="0.3">
      <c r="B164" s="42">
        <f>IF(Setup!$B$3:$B$324&lt;&gt;"",Setup!$B$3:$B$324,"")</f>
        <v>1506</v>
      </c>
      <c r="C164" s="46" t="str">
        <f>IF(Setup!$C$3:$C$324&lt;&gt;"",Setup!$C$3:$C$324,"")</f>
        <v>Power Socket</v>
      </c>
      <c r="D164" s="42">
        <f t="array" ref="D164">SUM(IF(B164=Setup!$B$3:$B$1022,Setup!$D$3:$D$1022))</f>
        <v>0</v>
      </c>
      <c r="E164" s="42">
        <f>SUMIF(Sales!A:A,Stock!B164,Sales!D:D)</f>
        <v>15</v>
      </c>
      <c r="F164" s="42">
        <f t="shared" si="2"/>
        <v>-15</v>
      </c>
    </row>
    <row r="165" spans="2:6" x14ac:dyDescent="0.3">
      <c r="B165" s="42">
        <f>IF(Setup!$B$3:$B$324&lt;&gt;"",Setup!$B$3:$B$324,"")</f>
        <v>1507</v>
      </c>
      <c r="C165" s="46" t="str">
        <f>IF(Setup!$C$3:$C$324&lt;&gt;"",Setup!$C$3:$C$324,"")</f>
        <v>European Socket</v>
      </c>
      <c r="D165" s="42">
        <f t="array" ref="D165">SUM(IF(B165=Setup!$B$3:$B$1022,Setup!$D$3:$D$1022))</f>
        <v>0</v>
      </c>
      <c r="E165" s="42">
        <f>SUMIF(Sales!A:A,Stock!B165,Sales!D:D)</f>
        <v>1</v>
      </c>
      <c r="F165" s="42">
        <f t="shared" si="2"/>
        <v>-1</v>
      </c>
    </row>
    <row r="166" spans="2:6" x14ac:dyDescent="0.3">
      <c r="B166" s="42">
        <f>IF(Setup!$B$3:$B$324&lt;&gt;"",Setup!$B$3:$B$324,"")</f>
        <v>1508</v>
      </c>
      <c r="C166" s="46" t="str">
        <f>IF(Setup!$C$3:$C$324&lt;&gt;"",Setup!$C$3:$C$324,"")</f>
        <v>Power Socket-Super Star</v>
      </c>
      <c r="D166" s="42">
        <f t="array" ref="D166">SUM(IF(B166=Setup!$B$3:$B$1022,Setup!$D$3:$D$1022))</f>
        <v>0</v>
      </c>
      <c r="E166" s="42">
        <f>SUMIF(Sales!A:A,Stock!B166,Sales!D:D)</f>
        <v>10</v>
      </c>
      <c r="F166" s="42">
        <f t="shared" si="2"/>
        <v>-10</v>
      </c>
    </row>
    <row r="167" spans="2:6" x14ac:dyDescent="0.3">
      <c r="B167" s="42">
        <f>IF(Setup!$B$3:$B$324&lt;&gt;"",Setup!$B$3:$B$324,"")</f>
        <v>1509</v>
      </c>
      <c r="C167" s="46" t="str">
        <f>IF(Setup!$C$3:$C$324&lt;&gt;"",Setup!$C$3:$C$324,"")</f>
        <v>Calling Bell Switch</v>
      </c>
      <c r="D167" s="42">
        <f t="array" ref="D167">SUM(IF(B167=Setup!$B$3:$B$1022,Setup!$D$3:$D$1022))</f>
        <v>0</v>
      </c>
      <c r="E167" s="42">
        <f>SUMIF(Sales!A:A,Stock!B167,Sales!D:D)</f>
        <v>1</v>
      </c>
      <c r="F167" s="42">
        <f t="shared" si="2"/>
        <v>-1</v>
      </c>
    </row>
    <row r="168" spans="2:6" x14ac:dyDescent="0.3">
      <c r="B168" s="42">
        <f>IF(Setup!$B$3:$B$324&lt;&gt;"",Setup!$B$3:$B$324,"")</f>
        <v>1510</v>
      </c>
      <c r="C168" s="46" t="str">
        <f>IF(Setup!$C$3:$C$324&lt;&gt;"",Setup!$C$3:$C$324,"")</f>
        <v>Circuit Breaker upto 32A</v>
      </c>
      <c r="D168" s="42">
        <f t="array" ref="D168">SUM(IF(B168=Setup!$B$3:$B$1022,Setup!$D$3:$D$1022))</f>
        <v>0</v>
      </c>
      <c r="E168" s="42">
        <f>SUMIF(Sales!A:A,Stock!B168,Sales!D:D)</f>
        <v>0</v>
      </c>
      <c r="F168" s="42">
        <f t="shared" si="2"/>
        <v>0</v>
      </c>
    </row>
    <row r="169" spans="2:6" x14ac:dyDescent="0.3">
      <c r="B169" s="42">
        <f>IF(Setup!$B$3:$B$324&lt;&gt;"",Setup!$B$3:$B$324,"")</f>
        <v>1511</v>
      </c>
      <c r="C169" s="46" t="str">
        <f>IF(Setup!$C$3:$C$324&lt;&gt;"",Setup!$C$3:$C$324,"")</f>
        <v>Cable-Used</v>
      </c>
      <c r="D169" s="42">
        <f t="array" ref="D169">SUM(IF(B169=Setup!$B$3:$B$1022,Setup!$D$3:$D$1022))</f>
        <v>0</v>
      </c>
      <c r="E169" s="42">
        <f>SUMIF(Sales!A:A,Stock!B169,Sales!D:D)</f>
        <v>0</v>
      </c>
      <c r="F169" s="42">
        <f t="shared" si="2"/>
        <v>0</v>
      </c>
    </row>
    <row r="170" spans="2:6" x14ac:dyDescent="0.3">
      <c r="B170" s="42">
        <f>IF(Setup!$B$3:$B$324&lt;&gt;"",Setup!$B$3:$B$324,"")</f>
        <v>1512</v>
      </c>
      <c r="C170" s="46" t="str">
        <f>IF(Setup!$C$3:$C$324&lt;&gt;"",Setup!$C$3:$C$324,"")</f>
        <v>Cable Connector</v>
      </c>
      <c r="D170" s="42">
        <f t="array" ref="D170">SUM(IF(B170=Setup!$B$3:$B$1022,Setup!$D$3:$D$1022))</f>
        <v>0</v>
      </c>
      <c r="E170" s="42">
        <f>SUMIF(Sales!A:A,Stock!B170,Sales!D:D)</f>
        <v>1</v>
      </c>
      <c r="F170" s="42">
        <f t="shared" si="2"/>
        <v>-1</v>
      </c>
    </row>
    <row r="171" spans="2:6" x14ac:dyDescent="0.3">
      <c r="B171" s="42">
        <f>IF(Setup!$B$3:$B$324&lt;&gt;"",Setup!$B$3:$B$324,"")</f>
        <v>1432</v>
      </c>
      <c r="C171" s="46" t="str">
        <f>IF(Setup!$C$3:$C$324&lt;&gt;"",Setup!$C$3:$C$324,"")</f>
        <v>Plastic chair without handle</v>
      </c>
      <c r="D171" s="42">
        <f t="array" ref="D171">SUM(IF(B171=Setup!$B$3:$B$1022,Setup!$D$3:$D$1022))</f>
        <v>0</v>
      </c>
      <c r="E171" s="42">
        <f>SUMIF(Sales!A:A,Stock!B171,Sales!D:D)</f>
        <v>5</v>
      </c>
      <c r="F171" s="42">
        <f t="shared" si="2"/>
        <v>-5</v>
      </c>
    </row>
    <row r="172" spans="2:6" x14ac:dyDescent="0.3">
      <c r="B172" s="42" t="str">
        <f>IF(Setup!$B$3:$B$324&lt;&gt;"",Setup!$B$3:$B$324,"")</f>
        <v/>
      </c>
      <c r="C172" s="46" t="str">
        <f>IF(Setup!$C$3:$C$324&lt;&gt;"",Setup!$C$3:$C$324,"")</f>
        <v/>
      </c>
      <c r="D172" s="42">
        <f t="array" ref="D172">SUM(IF(B172=Setup!$B$3:$B$1022,Setup!$D$3:$D$1022))</f>
        <v>0</v>
      </c>
      <c r="E172" s="42">
        <f>SUMIF(Sales!A:A,Stock!B172,Sales!D:D)</f>
        <v>0</v>
      </c>
      <c r="F172" s="42">
        <f t="shared" si="2"/>
        <v>0</v>
      </c>
    </row>
    <row r="173" spans="2:6" x14ac:dyDescent="0.3">
      <c r="B173" s="42" t="str">
        <f>IF(Setup!$B$3:$B$324&lt;&gt;"",Setup!$B$3:$B$324,"")</f>
        <v/>
      </c>
      <c r="C173" s="46" t="str">
        <f>IF(Setup!$C$3:$C$324&lt;&gt;"",Setup!$C$3:$C$324,"")</f>
        <v/>
      </c>
      <c r="D173" s="42">
        <f t="array" ref="D173">SUM(IF(B173=Setup!$B$3:$B$1022,Setup!$D$3:$D$1022))</f>
        <v>0</v>
      </c>
      <c r="E173" s="42">
        <f>SUMIF(Sales!A:A,Stock!B173,Sales!D:D)</f>
        <v>0</v>
      </c>
      <c r="F173" s="42">
        <f t="shared" si="2"/>
        <v>0</v>
      </c>
    </row>
    <row r="174" spans="2:6" x14ac:dyDescent="0.3">
      <c r="B174" s="42" t="str">
        <f>IF(Setup!$B$3:$B$324&lt;&gt;"",Setup!$B$3:$B$324,"")</f>
        <v/>
      </c>
      <c r="C174" s="46" t="str">
        <f>IF(Setup!$C$3:$C$324&lt;&gt;"",Setup!$C$3:$C$324,"")</f>
        <v/>
      </c>
      <c r="D174" s="42">
        <f t="array" ref="D174">SUM(IF(B174=Setup!$B$3:$B$1022,Setup!$D$3:$D$1022))</f>
        <v>0</v>
      </c>
      <c r="E174" s="42">
        <f>SUMIF(Sales!A:A,Stock!B174,Sales!D:D)</f>
        <v>0</v>
      </c>
      <c r="F174" s="42">
        <f t="shared" si="2"/>
        <v>0</v>
      </c>
    </row>
    <row r="175" spans="2:6" x14ac:dyDescent="0.3">
      <c r="B175" s="42" t="str">
        <f>IF(Setup!$B$3:$B$324&lt;&gt;"",Setup!$B$3:$B$324,"")</f>
        <v/>
      </c>
      <c r="C175" s="46" t="str">
        <f>IF(Setup!$C$3:$C$324&lt;&gt;"",Setup!$C$3:$C$324,"")</f>
        <v/>
      </c>
      <c r="D175" s="42">
        <f t="array" ref="D175">SUM(IF(B175=Setup!$B$3:$B$1022,Setup!$D$3:$D$1022))</f>
        <v>0</v>
      </c>
      <c r="E175" s="42">
        <f>SUMIF(Sales!A:A,Stock!B175,Sales!D:D)</f>
        <v>0</v>
      </c>
      <c r="F175" s="42">
        <f t="shared" si="2"/>
        <v>0</v>
      </c>
    </row>
    <row r="176" spans="2:6" x14ac:dyDescent="0.3">
      <c r="B176" s="42" t="str">
        <f>IF(Setup!$B$3:$B$324&lt;&gt;"",Setup!$B$3:$B$324,"")</f>
        <v/>
      </c>
      <c r="C176" s="46" t="str">
        <f>IF(Setup!$C$3:$C$324&lt;&gt;"",Setup!$C$3:$C$324,"")</f>
        <v/>
      </c>
      <c r="D176" s="42">
        <f t="array" ref="D176">SUM(IF(B176=Setup!$B$3:$B$1022,Setup!$D$3:$D$1022))</f>
        <v>0</v>
      </c>
      <c r="E176" s="42">
        <f>SUMIF(Sales!A:A,Stock!B176,Sales!D:D)</f>
        <v>0</v>
      </c>
      <c r="F176" s="42">
        <f t="shared" si="2"/>
        <v>0</v>
      </c>
    </row>
    <row r="177" spans="2:6" x14ac:dyDescent="0.3">
      <c r="B177" s="42" t="str">
        <f>IF(Setup!$B$3:$B$324&lt;&gt;"",Setup!$B$3:$B$324,"")</f>
        <v/>
      </c>
      <c r="C177" s="46" t="str">
        <f>IF(Setup!$C$3:$C$324&lt;&gt;"",Setup!$C$3:$C$324,"")</f>
        <v/>
      </c>
      <c r="D177" s="42">
        <f t="array" ref="D177">SUM(IF(B177=Setup!$B$3:$B$1022,Setup!$D$3:$D$1022))</f>
        <v>0</v>
      </c>
      <c r="E177" s="42">
        <f>SUMIF(Sales!A:A,Stock!B177,Sales!D:D)</f>
        <v>0</v>
      </c>
      <c r="F177" s="42">
        <f t="shared" si="2"/>
        <v>0</v>
      </c>
    </row>
    <row r="178" spans="2:6" x14ac:dyDescent="0.3">
      <c r="B178" s="42" t="str">
        <f>IF(Setup!$B$3:$B$324&lt;&gt;"",Setup!$B$3:$B$324,"")</f>
        <v/>
      </c>
      <c r="C178" s="46" t="str">
        <f>IF(Setup!$C$3:$C$324&lt;&gt;"",Setup!$C$3:$C$324,"")</f>
        <v/>
      </c>
      <c r="D178" s="42">
        <f t="array" ref="D178">SUM(IF(B178=Setup!$B$3:$B$1022,Setup!$D$3:$D$1022))</f>
        <v>0</v>
      </c>
      <c r="E178" s="42">
        <f>SUMIF(Sales!A:A,Stock!B178,Sales!D:D)</f>
        <v>0</v>
      </c>
      <c r="F178" s="42">
        <f t="shared" si="2"/>
        <v>0</v>
      </c>
    </row>
    <row r="179" spans="2:6" x14ac:dyDescent="0.3">
      <c r="B179" s="42" t="str">
        <f>IF(Setup!$B$3:$B$324&lt;&gt;"",Setup!$B$3:$B$324,"")</f>
        <v/>
      </c>
      <c r="C179" s="46" t="str">
        <f>IF(Setup!$C$3:$C$324&lt;&gt;"",Setup!$C$3:$C$324,"")</f>
        <v/>
      </c>
      <c r="D179" s="42">
        <f t="array" ref="D179">SUM(IF(B179=Setup!$B$3:$B$1022,Setup!$D$3:$D$1022))</f>
        <v>0</v>
      </c>
      <c r="E179" s="42">
        <f>SUMIF(Sales!A:A,Stock!B179,Sales!D:D)</f>
        <v>0</v>
      </c>
      <c r="F179" s="42">
        <f t="shared" si="2"/>
        <v>0</v>
      </c>
    </row>
    <row r="180" spans="2:6" x14ac:dyDescent="0.3">
      <c r="B180" s="42" t="str">
        <f>IF(Setup!$B$3:$B$324&lt;&gt;"",Setup!$B$3:$B$324,"")</f>
        <v/>
      </c>
      <c r="C180" s="46" t="str">
        <f>IF(Setup!$C$3:$C$324&lt;&gt;"",Setup!$C$3:$C$324,"")</f>
        <v/>
      </c>
      <c r="D180" s="42">
        <f t="array" ref="D180">SUM(IF(B180=Setup!$B$3:$B$1022,Setup!$D$3:$D$1022))</f>
        <v>0</v>
      </c>
      <c r="E180" s="42">
        <f>SUMIF(Sales!A:A,Stock!B180,Sales!D:D)</f>
        <v>0</v>
      </c>
      <c r="F180" s="42">
        <f t="shared" si="2"/>
        <v>0</v>
      </c>
    </row>
    <row r="181" spans="2:6" x14ac:dyDescent="0.3">
      <c r="B181" s="42" t="str">
        <f>IF(Setup!$B$3:$B$324&lt;&gt;"",Setup!$B$3:$B$324,"")</f>
        <v/>
      </c>
      <c r="C181" s="46" t="str">
        <f>IF(Setup!$C$3:$C$324&lt;&gt;"",Setup!$C$3:$C$324,"")</f>
        <v/>
      </c>
      <c r="D181" s="42">
        <f t="array" ref="D181">SUM(IF(B181=Setup!$B$3:$B$1022,Setup!$D$3:$D$1022))</f>
        <v>0</v>
      </c>
      <c r="E181" s="42">
        <f>SUMIF(Sales!A:A,Stock!B181,Sales!D:D)</f>
        <v>0</v>
      </c>
      <c r="F181" s="42">
        <f t="shared" si="2"/>
        <v>0</v>
      </c>
    </row>
    <row r="182" spans="2:6" x14ac:dyDescent="0.3">
      <c r="B182" s="42" t="str">
        <f>IF(Setup!$B$3:$B$324&lt;&gt;"",Setup!$B$3:$B$324,"")</f>
        <v/>
      </c>
      <c r="C182" s="46" t="str">
        <f>IF(Setup!$C$3:$C$324&lt;&gt;"",Setup!$C$3:$C$324,"")</f>
        <v/>
      </c>
      <c r="D182" s="42">
        <f t="array" ref="D182">SUM(IF(B182=Setup!$B$3:$B$1022,Setup!$D$3:$D$1022))</f>
        <v>0</v>
      </c>
      <c r="E182" s="42">
        <f>SUMIF(Sales!A:A,Stock!B182,Sales!D:D)</f>
        <v>0</v>
      </c>
      <c r="F182" s="42">
        <f t="shared" si="2"/>
        <v>0</v>
      </c>
    </row>
    <row r="183" spans="2:6" x14ac:dyDescent="0.3">
      <c r="B183" s="42" t="str">
        <f>IF(Setup!$B$3:$B$324&lt;&gt;"",Setup!$B$3:$B$324,"")</f>
        <v/>
      </c>
      <c r="C183" s="46" t="str">
        <f>IF(Setup!$C$3:$C$324&lt;&gt;"",Setup!$C$3:$C$324,"")</f>
        <v/>
      </c>
      <c r="D183" s="42">
        <f t="array" ref="D183">SUM(IF(B183=Setup!$B$3:$B$1022,Setup!$D$3:$D$1022))</f>
        <v>0</v>
      </c>
      <c r="E183" s="42">
        <f>SUMIF(Sales!A:A,Stock!B183,Sales!D:D)</f>
        <v>0</v>
      </c>
      <c r="F183" s="42">
        <f t="shared" si="2"/>
        <v>0</v>
      </c>
    </row>
    <row r="184" spans="2:6" x14ac:dyDescent="0.3">
      <c r="B184" s="42" t="str">
        <f>IF(Setup!$B$3:$B$324&lt;&gt;"",Setup!$B$3:$B$324,"")</f>
        <v/>
      </c>
      <c r="C184" s="46" t="str">
        <f>IF(Setup!$C$3:$C$324&lt;&gt;"",Setup!$C$3:$C$324,"")</f>
        <v/>
      </c>
      <c r="D184" s="42">
        <f t="array" ref="D184">SUM(IF(B184=Setup!$B$3:$B$1022,Setup!$D$3:$D$1022))</f>
        <v>0</v>
      </c>
      <c r="E184" s="42">
        <f>SUMIF(Sales!A:A,Stock!B184,Sales!D:D)</f>
        <v>0</v>
      </c>
      <c r="F184" s="42">
        <f t="shared" si="2"/>
        <v>0</v>
      </c>
    </row>
    <row r="185" spans="2:6" x14ac:dyDescent="0.3">
      <c r="B185" s="42" t="str">
        <f>IF(Setup!$B$3:$B$324&lt;&gt;"",Setup!$B$3:$B$324,"")</f>
        <v/>
      </c>
      <c r="C185" s="46" t="str">
        <f>IF(Setup!$C$3:$C$324&lt;&gt;"",Setup!$C$3:$C$324,"")</f>
        <v/>
      </c>
      <c r="D185" s="42">
        <f t="array" ref="D185">SUM(IF(B185=Setup!$B$3:$B$1022,Setup!$D$3:$D$1022))</f>
        <v>0</v>
      </c>
      <c r="E185" s="42">
        <f>SUMIF(Sales!A:A,Stock!B185,Sales!D:D)</f>
        <v>0</v>
      </c>
      <c r="F185" s="42">
        <f t="shared" si="2"/>
        <v>0</v>
      </c>
    </row>
    <row r="186" spans="2:6" x14ac:dyDescent="0.3">
      <c r="B186" s="42" t="str">
        <f>IF(Setup!$B$3:$B$324&lt;&gt;"",Setup!$B$3:$B$324,"")</f>
        <v/>
      </c>
      <c r="C186" s="46" t="str">
        <f>IF(Setup!$C$3:$C$324&lt;&gt;"",Setup!$C$3:$C$324,"")</f>
        <v/>
      </c>
      <c r="D186" s="42">
        <f t="array" ref="D186">SUM(IF(B186=Setup!$B$3:$B$1022,Setup!$D$3:$D$1022))</f>
        <v>0</v>
      </c>
      <c r="E186" s="42">
        <f>SUMIF(Sales!A:A,Stock!B186,Sales!D:D)</f>
        <v>0</v>
      </c>
      <c r="F186" s="42">
        <f t="shared" si="2"/>
        <v>0</v>
      </c>
    </row>
    <row r="187" spans="2:6" x14ac:dyDescent="0.3">
      <c r="B187" s="42" t="str">
        <f>IF(Setup!$B$3:$B$324&lt;&gt;"",Setup!$B$3:$B$324,"")</f>
        <v/>
      </c>
      <c r="C187" s="46" t="str">
        <f>IF(Setup!$C$3:$C$324&lt;&gt;"",Setup!$C$3:$C$324,"")</f>
        <v/>
      </c>
      <c r="D187" s="42">
        <f t="array" ref="D187">SUM(IF(B187=Setup!$B$3:$B$1022,Setup!$D$3:$D$1022))</f>
        <v>0</v>
      </c>
      <c r="E187" s="42">
        <f>SUMIF(Sales!A:A,Stock!B187,Sales!D:D)</f>
        <v>0</v>
      </c>
      <c r="F187" s="42">
        <f t="shared" si="2"/>
        <v>0</v>
      </c>
    </row>
    <row r="188" spans="2:6" x14ac:dyDescent="0.3">
      <c r="B188" s="42" t="str">
        <f>IF(Setup!$B$3:$B$324&lt;&gt;"",Setup!$B$3:$B$324,"")</f>
        <v/>
      </c>
      <c r="C188" s="46" t="str">
        <f>IF(Setup!$C$3:$C$324&lt;&gt;"",Setup!$C$3:$C$324,"")</f>
        <v/>
      </c>
      <c r="D188" s="42">
        <f t="array" ref="D188">SUM(IF(B188=Setup!$B$3:$B$1022,Setup!$D$3:$D$1022))</f>
        <v>0</v>
      </c>
      <c r="E188" s="42">
        <f>SUMIF(Sales!A:A,Stock!B188,Sales!D:D)</f>
        <v>0</v>
      </c>
      <c r="F188" s="42">
        <f t="shared" si="2"/>
        <v>0</v>
      </c>
    </row>
    <row r="189" spans="2:6" x14ac:dyDescent="0.3">
      <c r="B189" s="42" t="str">
        <f>IF(Setup!$B$3:$B$324&lt;&gt;"",Setup!$B$3:$B$324,"")</f>
        <v/>
      </c>
      <c r="C189" s="46" t="str">
        <f>IF(Setup!$C$3:$C$324&lt;&gt;"",Setup!$C$3:$C$324,"")</f>
        <v/>
      </c>
      <c r="D189" s="42">
        <f t="array" ref="D189">SUM(IF(B189=Setup!$B$3:$B$1022,Setup!$D$3:$D$1022))</f>
        <v>0</v>
      </c>
      <c r="E189" s="42">
        <f>SUMIF(Sales!A:A,Stock!B189,Sales!D:D)</f>
        <v>0</v>
      </c>
      <c r="F189" s="42">
        <f t="shared" si="2"/>
        <v>0</v>
      </c>
    </row>
    <row r="190" spans="2:6" x14ac:dyDescent="0.3">
      <c r="B190" s="42" t="str">
        <f>IF(Setup!$B$3:$B$324&lt;&gt;"",Setup!$B$3:$B$324,"")</f>
        <v/>
      </c>
      <c r="C190" s="46" t="str">
        <f>IF(Setup!$C$3:$C$324&lt;&gt;"",Setup!$C$3:$C$324,"")</f>
        <v/>
      </c>
      <c r="D190" s="42">
        <f t="array" ref="D190">SUM(IF(B190=Setup!$B$3:$B$1022,Setup!$D$3:$D$1022))</f>
        <v>0</v>
      </c>
      <c r="E190" s="42">
        <f>SUMIF(Sales!A:A,Stock!B190,Sales!D:D)</f>
        <v>0</v>
      </c>
      <c r="F190" s="42">
        <f t="shared" si="2"/>
        <v>0</v>
      </c>
    </row>
    <row r="191" spans="2:6" x14ac:dyDescent="0.3">
      <c r="B191" s="42" t="str">
        <f>IF(Setup!$B$3:$B$324&lt;&gt;"",Setup!$B$3:$B$324,"")</f>
        <v/>
      </c>
      <c r="C191" s="46" t="str">
        <f>IF(Setup!$C$3:$C$324&lt;&gt;"",Setup!$C$3:$C$324,"")</f>
        <v/>
      </c>
      <c r="D191" s="42">
        <f t="array" ref="D191">SUM(IF(B191=Setup!$B$3:$B$1022,Setup!$D$3:$D$1022))</f>
        <v>0</v>
      </c>
      <c r="E191" s="42">
        <f>SUMIF(Sales!A:A,Stock!B191,Sales!D:D)</f>
        <v>0</v>
      </c>
      <c r="F191" s="42">
        <f t="shared" si="2"/>
        <v>0</v>
      </c>
    </row>
    <row r="192" spans="2:6" x14ac:dyDescent="0.3">
      <c r="B192" s="42" t="str">
        <f>IF(Setup!$B$3:$B$324&lt;&gt;"",Setup!$B$3:$B$324,"")</f>
        <v/>
      </c>
      <c r="C192" s="46" t="str">
        <f>IF(Setup!$C$3:$C$324&lt;&gt;"",Setup!$C$3:$C$324,"")</f>
        <v/>
      </c>
      <c r="D192" s="42">
        <f t="array" ref="D192">SUM(IF(B192=Setup!$B$3:$B$1022,Setup!$D$3:$D$1022))</f>
        <v>0</v>
      </c>
      <c r="E192" s="42">
        <f>SUMIF(Sales!A:A,Stock!B192,Sales!D:D)</f>
        <v>0</v>
      </c>
      <c r="F192" s="42">
        <f t="shared" si="2"/>
        <v>0</v>
      </c>
    </row>
    <row r="193" spans="2:6" x14ac:dyDescent="0.3">
      <c r="B193" s="42" t="str">
        <f>IF(Setup!$B$3:$B$324&lt;&gt;"",Setup!$B$3:$B$324,"")</f>
        <v/>
      </c>
      <c r="C193" s="46" t="str">
        <f>IF(Setup!$C$3:$C$324&lt;&gt;"",Setup!$C$3:$C$324,"")</f>
        <v/>
      </c>
      <c r="D193" s="42">
        <f t="array" ref="D193">SUM(IF(B193=Setup!$B$3:$B$1022,Setup!$D$3:$D$1022))</f>
        <v>0</v>
      </c>
      <c r="E193" s="42">
        <f>SUMIF(Sales!A:A,Stock!B193,Sales!D:D)</f>
        <v>0</v>
      </c>
      <c r="F193" s="42">
        <f t="shared" si="2"/>
        <v>0</v>
      </c>
    </row>
    <row r="194" spans="2:6" x14ac:dyDescent="0.3">
      <c r="B194" s="42" t="str">
        <f>IF(Setup!$B$3:$B$324&lt;&gt;"",Setup!$B$3:$B$324,"")</f>
        <v/>
      </c>
      <c r="C194" s="46" t="str">
        <f>IF(Setup!$C$3:$C$324&lt;&gt;"",Setup!$C$3:$C$324,"")</f>
        <v/>
      </c>
      <c r="D194" s="42">
        <f t="array" ref="D194">SUM(IF(B194=Setup!$B$3:$B$1022,Setup!$D$3:$D$1022))</f>
        <v>0</v>
      </c>
      <c r="E194" s="42">
        <f>SUMIF(Sales!A:A,Stock!B194,Sales!D:D)</f>
        <v>0</v>
      </c>
      <c r="F194" s="42">
        <f t="shared" si="2"/>
        <v>0</v>
      </c>
    </row>
    <row r="195" spans="2:6" x14ac:dyDescent="0.3">
      <c r="B195" s="42" t="str">
        <f>IF(Setup!$B$3:$B$324&lt;&gt;"",Setup!$B$3:$B$324,"")</f>
        <v/>
      </c>
      <c r="C195" s="46" t="str">
        <f>IF(Setup!$C$3:$C$324&lt;&gt;"",Setup!$C$3:$C$324,"")</f>
        <v/>
      </c>
      <c r="D195" s="42">
        <f t="array" ref="D195">SUM(IF(B195=Setup!$B$3:$B$1022,Setup!$D$3:$D$1022))</f>
        <v>0</v>
      </c>
      <c r="E195" s="42">
        <f>SUMIF(Sales!A:A,Stock!B195,Sales!D:D)</f>
        <v>0</v>
      </c>
      <c r="F195" s="42">
        <f t="shared" ref="F195:F258" si="3">+D195-E195</f>
        <v>0</v>
      </c>
    </row>
    <row r="196" spans="2:6" x14ac:dyDescent="0.3">
      <c r="B196" s="42" t="str">
        <f>IF(Setup!$B$3:$B$324&lt;&gt;"",Setup!$B$3:$B$324,"")</f>
        <v/>
      </c>
      <c r="C196" s="46" t="str">
        <f>IF(Setup!$C$3:$C$324&lt;&gt;"",Setup!$C$3:$C$324,"")</f>
        <v/>
      </c>
      <c r="D196" s="42">
        <f t="array" ref="D196">SUM(IF(B196=Setup!$B$3:$B$1022,Setup!$D$3:$D$1022))</f>
        <v>0</v>
      </c>
      <c r="E196" s="42">
        <f>SUMIF(Sales!A:A,Stock!B196,Sales!D:D)</f>
        <v>0</v>
      </c>
      <c r="F196" s="42">
        <f t="shared" si="3"/>
        <v>0</v>
      </c>
    </row>
    <row r="197" spans="2:6" x14ac:dyDescent="0.3">
      <c r="B197" s="42" t="str">
        <f>IF(Setup!$B$3:$B$324&lt;&gt;"",Setup!$B$3:$B$324,"")</f>
        <v/>
      </c>
      <c r="C197" s="46" t="str">
        <f>IF(Setup!$C$3:$C$324&lt;&gt;"",Setup!$C$3:$C$324,"")</f>
        <v/>
      </c>
      <c r="D197" s="42">
        <f t="array" ref="D197">SUM(IF(B197=Setup!$B$3:$B$1022,Setup!$D$3:$D$1022))</f>
        <v>0</v>
      </c>
      <c r="E197" s="42">
        <f>SUMIF(Sales!A:A,Stock!B197,Sales!D:D)</f>
        <v>0</v>
      </c>
      <c r="F197" s="42">
        <f t="shared" si="3"/>
        <v>0</v>
      </c>
    </row>
    <row r="198" spans="2:6" x14ac:dyDescent="0.3">
      <c r="B198" s="42" t="str">
        <f>IF(Setup!$B$3:$B$324&lt;&gt;"",Setup!$B$3:$B$324,"")</f>
        <v/>
      </c>
      <c r="C198" s="46" t="str">
        <f>IF(Setup!$C$3:$C$324&lt;&gt;"",Setup!$C$3:$C$324,"")</f>
        <v/>
      </c>
      <c r="D198" s="42">
        <f t="array" ref="D198">SUM(IF(B198=Setup!$B$3:$B$1022,Setup!$D$3:$D$1022))</f>
        <v>0</v>
      </c>
      <c r="E198" s="42">
        <f>SUMIF(Sales!A:A,Stock!B198,Sales!D:D)</f>
        <v>0</v>
      </c>
      <c r="F198" s="42">
        <f t="shared" si="3"/>
        <v>0</v>
      </c>
    </row>
    <row r="199" spans="2:6" x14ac:dyDescent="0.3">
      <c r="B199" s="42" t="str">
        <f>IF(Setup!$B$3:$B$324&lt;&gt;"",Setup!$B$3:$B$324,"")</f>
        <v/>
      </c>
      <c r="C199" s="46" t="str">
        <f>IF(Setup!$C$3:$C$324&lt;&gt;"",Setup!$C$3:$C$324,"")</f>
        <v/>
      </c>
      <c r="D199" s="42">
        <f t="array" ref="D199">SUM(IF(B199=Setup!$B$3:$B$1022,Setup!$D$3:$D$1022))</f>
        <v>0</v>
      </c>
      <c r="E199" s="42">
        <f>SUMIF(Sales!A:A,Stock!B199,Sales!D:D)</f>
        <v>0</v>
      </c>
      <c r="F199" s="42">
        <f t="shared" si="3"/>
        <v>0</v>
      </c>
    </row>
    <row r="200" spans="2:6" x14ac:dyDescent="0.3">
      <c r="B200" s="42" t="str">
        <f>IF(Setup!$B$3:$B$324&lt;&gt;"",Setup!$B$3:$B$324,"")</f>
        <v/>
      </c>
      <c r="C200" s="46" t="str">
        <f>IF(Setup!$C$3:$C$324&lt;&gt;"",Setup!$C$3:$C$324,"")</f>
        <v/>
      </c>
      <c r="D200" s="42">
        <f t="array" ref="D200">SUM(IF(B200=Setup!$B$3:$B$1022,Setup!$D$3:$D$1022))</f>
        <v>0</v>
      </c>
      <c r="E200" s="42">
        <f>SUMIF(Sales!A:A,Stock!B200,Sales!D:D)</f>
        <v>0</v>
      </c>
      <c r="F200" s="42">
        <f t="shared" si="3"/>
        <v>0</v>
      </c>
    </row>
    <row r="201" spans="2:6" x14ac:dyDescent="0.3">
      <c r="B201" s="42" t="str">
        <f>IF(Setup!$B$3:$B$324&lt;&gt;"",Setup!$B$3:$B$324,"")</f>
        <v/>
      </c>
      <c r="C201" s="46" t="str">
        <f>IF(Setup!$C$3:$C$324&lt;&gt;"",Setup!$C$3:$C$324,"")</f>
        <v/>
      </c>
      <c r="D201" s="42">
        <f t="array" ref="D201">SUM(IF(B201=Setup!$B$3:$B$1022,Setup!$D$3:$D$1022))</f>
        <v>0</v>
      </c>
      <c r="E201" s="42">
        <f>SUMIF(Sales!A:A,Stock!B201,Sales!D:D)</f>
        <v>0</v>
      </c>
      <c r="F201" s="42">
        <f t="shared" si="3"/>
        <v>0</v>
      </c>
    </row>
    <row r="202" spans="2:6" x14ac:dyDescent="0.3">
      <c r="B202" s="42" t="str">
        <f>IF(Setup!$B$3:$B$324&lt;&gt;"",Setup!$B$3:$B$324,"")</f>
        <v/>
      </c>
      <c r="C202" s="46" t="str">
        <f>IF(Setup!$C$3:$C$324&lt;&gt;"",Setup!$C$3:$C$324,"")</f>
        <v/>
      </c>
      <c r="D202" s="42">
        <f t="array" ref="D202">SUM(IF(B202=Setup!$B$3:$B$1022,Setup!$D$3:$D$1022))</f>
        <v>0</v>
      </c>
      <c r="E202" s="42">
        <f>SUMIF(Sales!A:A,Stock!B202,Sales!D:D)</f>
        <v>0</v>
      </c>
      <c r="F202" s="42">
        <f t="shared" si="3"/>
        <v>0</v>
      </c>
    </row>
    <row r="203" spans="2:6" x14ac:dyDescent="0.3">
      <c r="B203" s="42" t="str">
        <f>IF(Setup!$B$3:$B$324&lt;&gt;"",Setup!$B$3:$B$324,"")</f>
        <v/>
      </c>
      <c r="C203" s="46" t="str">
        <f>IF(Setup!$C$3:$C$324&lt;&gt;"",Setup!$C$3:$C$324,"")</f>
        <v/>
      </c>
      <c r="D203" s="42">
        <f t="array" ref="D203">SUM(IF(B203=Setup!$B$3:$B$1022,Setup!$D$3:$D$1022))</f>
        <v>0</v>
      </c>
      <c r="E203" s="42">
        <f>SUMIF(Sales!A:A,Stock!B203,Sales!D:D)</f>
        <v>0</v>
      </c>
      <c r="F203" s="42">
        <f t="shared" si="3"/>
        <v>0</v>
      </c>
    </row>
    <row r="204" spans="2:6" x14ac:dyDescent="0.3">
      <c r="B204" s="42" t="str">
        <f>IF(Setup!$B$3:$B$324&lt;&gt;"",Setup!$B$3:$B$324,"")</f>
        <v/>
      </c>
      <c r="C204" s="46" t="str">
        <f>IF(Setup!$C$3:$C$324&lt;&gt;"",Setup!$C$3:$C$324,"")</f>
        <v/>
      </c>
      <c r="D204" s="42">
        <f t="array" ref="D204">SUM(IF(B204=Setup!$B$3:$B$1022,Setup!$D$3:$D$1022))</f>
        <v>0</v>
      </c>
      <c r="E204" s="42">
        <f>SUMIF(Sales!A:A,Stock!B204,Sales!D:D)</f>
        <v>0</v>
      </c>
      <c r="F204" s="42">
        <f t="shared" si="3"/>
        <v>0</v>
      </c>
    </row>
    <row r="205" spans="2:6" x14ac:dyDescent="0.3">
      <c r="B205" s="42" t="str">
        <f>IF(Setup!$B$3:$B$324&lt;&gt;"",Setup!$B$3:$B$324,"")</f>
        <v/>
      </c>
      <c r="C205" s="46" t="str">
        <f>IF(Setup!$C$3:$C$324&lt;&gt;"",Setup!$C$3:$C$324,"")</f>
        <v/>
      </c>
      <c r="D205" s="42">
        <f t="array" ref="D205">SUM(IF(B205=Setup!$B$3:$B$1022,Setup!$D$3:$D$1022))</f>
        <v>0</v>
      </c>
      <c r="E205" s="42">
        <f>SUMIF(Sales!A:A,Stock!B205,Sales!D:D)</f>
        <v>0</v>
      </c>
      <c r="F205" s="42">
        <f t="shared" si="3"/>
        <v>0</v>
      </c>
    </row>
    <row r="206" spans="2:6" x14ac:dyDescent="0.3">
      <c r="B206" s="42" t="str">
        <f>IF(Setup!$B$3:$B$324&lt;&gt;"",Setup!$B$3:$B$324,"")</f>
        <v/>
      </c>
      <c r="C206" s="46" t="str">
        <f>IF(Setup!$C$3:$C$324&lt;&gt;"",Setup!$C$3:$C$324,"")</f>
        <v/>
      </c>
      <c r="D206" s="42">
        <f t="array" ref="D206">SUM(IF(B206=Setup!$B$3:$B$1022,Setup!$D$3:$D$1022))</f>
        <v>0</v>
      </c>
      <c r="E206" s="42">
        <f>SUMIF(Sales!A:A,Stock!B206,Sales!D:D)</f>
        <v>0</v>
      </c>
      <c r="F206" s="42">
        <f t="shared" si="3"/>
        <v>0</v>
      </c>
    </row>
    <row r="207" spans="2:6" x14ac:dyDescent="0.3">
      <c r="B207" s="42" t="str">
        <f>IF(Setup!$B$3:$B$324&lt;&gt;"",Setup!$B$3:$B$324,"")</f>
        <v/>
      </c>
      <c r="C207" s="46" t="str">
        <f>IF(Setup!$C$3:$C$324&lt;&gt;"",Setup!$C$3:$C$324,"")</f>
        <v/>
      </c>
      <c r="D207" s="42">
        <f t="array" ref="D207">SUM(IF(B207=Setup!$B$3:$B$1022,Setup!$D$3:$D$1022))</f>
        <v>0</v>
      </c>
      <c r="E207" s="42">
        <f>SUMIF(Sales!A:A,Stock!B207,Sales!D:D)</f>
        <v>0</v>
      </c>
      <c r="F207" s="42">
        <f t="shared" si="3"/>
        <v>0</v>
      </c>
    </row>
    <row r="208" spans="2:6" x14ac:dyDescent="0.3">
      <c r="B208" s="42" t="str">
        <f>IF(Setup!$B$3:$B$324&lt;&gt;"",Setup!$B$3:$B$324,"")</f>
        <v/>
      </c>
      <c r="C208" s="46" t="str">
        <f>IF(Setup!$C$3:$C$324&lt;&gt;"",Setup!$C$3:$C$324,"")</f>
        <v/>
      </c>
      <c r="D208" s="42">
        <f t="array" ref="D208">SUM(IF(B208=Setup!$B$3:$B$1022,Setup!$D$3:$D$1022))</f>
        <v>0</v>
      </c>
      <c r="E208" s="42">
        <f>SUMIF(Sales!A:A,Stock!B208,Sales!D:D)</f>
        <v>0</v>
      </c>
      <c r="F208" s="42">
        <f t="shared" si="3"/>
        <v>0</v>
      </c>
    </row>
    <row r="209" spans="2:6" x14ac:dyDescent="0.3">
      <c r="B209" s="42" t="str">
        <f>IF(Setup!$B$3:$B$324&lt;&gt;"",Setup!$B$3:$B$324,"")</f>
        <v/>
      </c>
      <c r="C209" s="46" t="str">
        <f>IF(Setup!$C$3:$C$324&lt;&gt;"",Setup!$C$3:$C$324,"")</f>
        <v/>
      </c>
      <c r="D209" s="42">
        <f t="array" ref="D209">SUM(IF(B209=Setup!$B$3:$B$1022,Setup!$D$3:$D$1022))</f>
        <v>0</v>
      </c>
      <c r="E209" s="42">
        <f>SUMIF(Sales!A:A,Stock!B209,Sales!D:D)</f>
        <v>0</v>
      </c>
      <c r="F209" s="42">
        <f t="shared" si="3"/>
        <v>0</v>
      </c>
    </row>
    <row r="210" spans="2:6" x14ac:dyDescent="0.3">
      <c r="B210" s="42" t="str">
        <f>IF(Setup!$B$3:$B$324&lt;&gt;"",Setup!$B$3:$B$324,"")</f>
        <v/>
      </c>
      <c r="C210" s="46" t="str">
        <f>IF(Setup!$C$3:$C$324&lt;&gt;"",Setup!$C$3:$C$324,"")</f>
        <v/>
      </c>
      <c r="D210" s="42">
        <f t="array" ref="D210">SUM(IF(B210=Setup!$B$3:$B$1022,Setup!$D$3:$D$1022))</f>
        <v>0</v>
      </c>
      <c r="E210" s="42">
        <f>SUMIF(Sales!A:A,Stock!B210,Sales!D:D)</f>
        <v>0</v>
      </c>
      <c r="F210" s="42">
        <f t="shared" si="3"/>
        <v>0</v>
      </c>
    </row>
    <row r="211" spans="2:6" x14ac:dyDescent="0.3">
      <c r="B211" s="42" t="str">
        <f>IF(Setup!$B$3:$B$324&lt;&gt;"",Setup!$B$3:$B$324,"")</f>
        <v/>
      </c>
      <c r="C211" s="46" t="str">
        <f>IF(Setup!$C$3:$C$324&lt;&gt;"",Setup!$C$3:$C$324,"")</f>
        <v/>
      </c>
      <c r="D211" s="42">
        <f t="array" ref="D211">SUM(IF(B211=Setup!$B$3:$B$1022,Setup!$D$3:$D$1022))</f>
        <v>0</v>
      </c>
      <c r="E211" s="42">
        <f>SUMIF(Sales!A:A,Stock!B211,Sales!D:D)</f>
        <v>0</v>
      </c>
      <c r="F211" s="42">
        <f t="shared" si="3"/>
        <v>0</v>
      </c>
    </row>
    <row r="212" spans="2:6" x14ac:dyDescent="0.3">
      <c r="B212" s="42" t="str">
        <f>IF(Setup!$B$3:$B$324&lt;&gt;"",Setup!$B$3:$B$324,"")</f>
        <v/>
      </c>
      <c r="C212" s="46" t="str">
        <f>IF(Setup!$C$3:$C$324&lt;&gt;"",Setup!$C$3:$C$324,"")</f>
        <v/>
      </c>
      <c r="D212" s="42">
        <f t="array" ref="D212">SUM(IF(B212=Setup!$B$3:$B$1022,Setup!$D$3:$D$1022))</f>
        <v>0</v>
      </c>
      <c r="E212" s="42">
        <f>SUMIF(Sales!A:A,Stock!B212,Sales!D:D)</f>
        <v>0</v>
      </c>
      <c r="F212" s="42">
        <f t="shared" si="3"/>
        <v>0</v>
      </c>
    </row>
    <row r="213" spans="2:6" x14ac:dyDescent="0.3">
      <c r="B213" s="42" t="str">
        <f>IF(Setup!$B$3:$B$324&lt;&gt;"",Setup!$B$3:$B$324,"")</f>
        <v/>
      </c>
      <c r="C213" s="46" t="str">
        <f>IF(Setup!$C$3:$C$324&lt;&gt;"",Setup!$C$3:$C$324,"")</f>
        <v/>
      </c>
      <c r="D213" s="42">
        <f t="array" ref="D213">SUM(IF(B213=Setup!$B$3:$B$1022,Setup!$D$3:$D$1022))</f>
        <v>0</v>
      </c>
      <c r="E213" s="42">
        <f>SUMIF(Sales!A:A,Stock!B213,Sales!D:D)</f>
        <v>0</v>
      </c>
      <c r="F213" s="42">
        <f t="shared" si="3"/>
        <v>0</v>
      </c>
    </row>
    <row r="214" spans="2:6" x14ac:dyDescent="0.3">
      <c r="B214" s="42" t="str">
        <f>IF(Setup!$B$3:$B$324&lt;&gt;"",Setup!$B$3:$B$324,"")</f>
        <v/>
      </c>
      <c r="C214" s="46" t="str">
        <f>IF(Setup!$C$3:$C$324&lt;&gt;"",Setup!$C$3:$C$324,"")</f>
        <v/>
      </c>
      <c r="D214" s="42">
        <f t="array" ref="D214">SUM(IF(B214=Setup!$B$3:$B$1022,Setup!$D$3:$D$1022))</f>
        <v>0</v>
      </c>
      <c r="E214" s="42">
        <f>SUMIF(Sales!A:A,Stock!B214,Sales!D:D)</f>
        <v>0</v>
      </c>
      <c r="F214" s="42">
        <f t="shared" si="3"/>
        <v>0</v>
      </c>
    </row>
    <row r="215" spans="2:6" x14ac:dyDescent="0.3">
      <c r="B215" s="42" t="str">
        <f>IF(Setup!$B$3:$B$324&lt;&gt;"",Setup!$B$3:$B$324,"")</f>
        <v/>
      </c>
      <c r="C215" s="46" t="str">
        <f>IF(Setup!$C$3:$C$324&lt;&gt;"",Setup!$C$3:$C$324,"")</f>
        <v/>
      </c>
      <c r="D215" s="42">
        <f t="array" ref="D215">SUM(IF(B215=Setup!$B$3:$B$1022,Setup!$D$3:$D$1022))</f>
        <v>0</v>
      </c>
      <c r="E215" s="42">
        <f>SUMIF(Sales!A:A,Stock!B215,Sales!D:D)</f>
        <v>0</v>
      </c>
      <c r="F215" s="42">
        <f t="shared" si="3"/>
        <v>0</v>
      </c>
    </row>
    <row r="216" spans="2:6" x14ac:dyDescent="0.3">
      <c r="B216" s="42" t="str">
        <f>IF(Setup!$B$3:$B$324&lt;&gt;"",Setup!$B$3:$B$324,"")</f>
        <v/>
      </c>
      <c r="C216" s="46" t="str">
        <f>IF(Setup!$C$3:$C$324&lt;&gt;"",Setup!$C$3:$C$324,"")</f>
        <v/>
      </c>
      <c r="D216" s="42">
        <f t="array" ref="D216">SUM(IF(B216=Setup!$B$3:$B$1022,Setup!$D$3:$D$1022))</f>
        <v>0</v>
      </c>
      <c r="E216" s="42">
        <f>SUMIF(Sales!A:A,Stock!B216,Sales!D:D)</f>
        <v>0</v>
      </c>
      <c r="F216" s="42">
        <f t="shared" si="3"/>
        <v>0</v>
      </c>
    </row>
    <row r="217" spans="2:6" x14ac:dyDescent="0.3">
      <c r="B217" s="42" t="str">
        <f>IF(Setup!$B$3:$B$324&lt;&gt;"",Setup!$B$3:$B$324,"")</f>
        <v/>
      </c>
      <c r="C217" s="46" t="str">
        <f>IF(Setup!$C$3:$C$324&lt;&gt;"",Setup!$C$3:$C$324,"")</f>
        <v/>
      </c>
      <c r="D217" s="42">
        <f t="array" ref="D217">SUM(IF(B217=Setup!$B$3:$B$1022,Setup!$D$3:$D$1022))</f>
        <v>0</v>
      </c>
      <c r="E217" s="42">
        <f>SUMIF(Sales!A:A,Stock!B217,Sales!D:D)</f>
        <v>0</v>
      </c>
      <c r="F217" s="42">
        <f t="shared" si="3"/>
        <v>0</v>
      </c>
    </row>
    <row r="218" spans="2:6" x14ac:dyDescent="0.3">
      <c r="B218" s="42" t="str">
        <f>IF(Setup!$B$3:$B$324&lt;&gt;"",Setup!$B$3:$B$324,"")</f>
        <v/>
      </c>
      <c r="C218" s="46" t="str">
        <f>IF(Setup!$C$3:$C$324&lt;&gt;"",Setup!$C$3:$C$324,"")</f>
        <v/>
      </c>
      <c r="D218" s="42">
        <f t="array" ref="D218">SUM(IF(B218=Setup!$B$3:$B$1022,Setup!$D$3:$D$1022))</f>
        <v>0</v>
      </c>
      <c r="E218" s="42">
        <f>SUMIF(Sales!A:A,Stock!B218,Sales!D:D)</f>
        <v>0</v>
      </c>
      <c r="F218" s="42">
        <f t="shared" si="3"/>
        <v>0</v>
      </c>
    </row>
    <row r="219" spans="2:6" x14ac:dyDescent="0.3">
      <c r="B219" s="42" t="str">
        <f>IF(Setup!$B$3:$B$324&lt;&gt;"",Setup!$B$3:$B$324,"")</f>
        <v/>
      </c>
      <c r="C219" s="46" t="str">
        <f>IF(Setup!$C$3:$C$324&lt;&gt;"",Setup!$C$3:$C$324,"")</f>
        <v/>
      </c>
      <c r="D219" s="42">
        <f t="array" ref="D219">SUM(IF(B219=Setup!$B$3:$B$1022,Setup!$D$3:$D$1022))</f>
        <v>0</v>
      </c>
      <c r="E219" s="42">
        <f>SUMIF(Sales!A:A,Stock!B219,Sales!D:D)</f>
        <v>0</v>
      </c>
      <c r="F219" s="42">
        <f t="shared" si="3"/>
        <v>0</v>
      </c>
    </row>
    <row r="220" spans="2:6" x14ac:dyDescent="0.3">
      <c r="B220" s="42" t="str">
        <f>IF(Setup!$B$3:$B$324&lt;&gt;"",Setup!$B$3:$B$324,"")</f>
        <v/>
      </c>
      <c r="C220" s="46" t="str">
        <f>IF(Setup!$C$3:$C$324&lt;&gt;"",Setup!$C$3:$C$324,"")</f>
        <v/>
      </c>
      <c r="D220" s="42">
        <f t="array" ref="D220">SUM(IF(B220=Setup!$B$3:$B$1022,Setup!$D$3:$D$1022))</f>
        <v>0</v>
      </c>
      <c r="E220" s="42">
        <f>SUMIF(Sales!A:A,Stock!B220,Sales!D:D)</f>
        <v>0</v>
      </c>
      <c r="F220" s="42">
        <f t="shared" si="3"/>
        <v>0</v>
      </c>
    </row>
    <row r="221" spans="2:6" x14ac:dyDescent="0.3">
      <c r="B221" s="42" t="str">
        <f>IF(Setup!$B$3:$B$324&lt;&gt;"",Setup!$B$3:$B$324,"")</f>
        <v/>
      </c>
      <c r="C221" s="46" t="str">
        <f>IF(Setup!$C$3:$C$324&lt;&gt;"",Setup!$C$3:$C$324,"")</f>
        <v/>
      </c>
      <c r="D221" s="42">
        <f t="array" ref="D221">SUM(IF(B221=Setup!$B$3:$B$1022,Setup!$D$3:$D$1022))</f>
        <v>0</v>
      </c>
      <c r="E221" s="42">
        <f>SUMIF(Sales!A:A,Stock!B221,Sales!D:D)</f>
        <v>0</v>
      </c>
      <c r="F221" s="42">
        <f t="shared" si="3"/>
        <v>0</v>
      </c>
    </row>
    <row r="222" spans="2:6" x14ac:dyDescent="0.3">
      <c r="B222" s="42" t="str">
        <f>IF(Setup!$B$3:$B$324&lt;&gt;"",Setup!$B$3:$B$324,"")</f>
        <v/>
      </c>
      <c r="C222" s="46" t="str">
        <f>IF(Setup!$C$3:$C$324&lt;&gt;"",Setup!$C$3:$C$324,"")</f>
        <v/>
      </c>
      <c r="D222" s="42">
        <f t="array" ref="D222">SUM(IF(B222=Setup!$B$3:$B$1022,Setup!$D$3:$D$1022))</f>
        <v>0</v>
      </c>
      <c r="E222" s="42">
        <f>SUMIF(Sales!A:A,Stock!B222,Sales!D:D)</f>
        <v>0</v>
      </c>
      <c r="F222" s="42">
        <f t="shared" si="3"/>
        <v>0</v>
      </c>
    </row>
    <row r="223" spans="2:6" x14ac:dyDescent="0.3">
      <c r="B223" s="42" t="str">
        <f>IF(Setup!$B$3:$B$324&lt;&gt;"",Setup!$B$3:$B$324,"")</f>
        <v/>
      </c>
      <c r="C223" s="46" t="str">
        <f>IF(Setup!$C$3:$C$324&lt;&gt;"",Setup!$C$3:$C$324,"")</f>
        <v/>
      </c>
      <c r="D223" s="42">
        <f t="array" ref="D223">SUM(IF(B223=Setup!$B$3:$B$1022,Setup!$D$3:$D$1022))</f>
        <v>0</v>
      </c>
      <c r="E223" s="42">
        <f>SUMIF(Sales!A:A,Stock!B223,Sales!D:D)</f>
        <v>0</v>
      </c>
      <c r="F223" s="42">
        <f t="shared" si="3"/>
        <v>0</v>
      </c>
    </row>
    <row r="224" spans="2:6" x14ac:dyDescent="0.3">
      <c r="B224" s="42" t="str">
        <f>IF(Setup!$B$3:$B$324&lt;&gt;"",Setup!$B$3:$B$324,"")</f>
        <v/>
      </c>
      <c r="C224" s="46" t="str">
        <f>IF(Setup!$C$3:$C$324&lt;&gt;"",Setup!$C$3:$C$324,"")</f>
        <v/>
      </c>
      <c r="D224" s="42">
        <f t="array" ref="D224">SUM(IF(B224=Setup!$B$3:$B$1022,Setup!$D$3:$D$1022))</f>
        <v>0</v>
      </c>
      <c r="E224" s="42">
        <f>SUMIF(Sales!A:A,Stock!B224,Sales!D:D)</f>
        <v>0</v>
      </c>
      <c r="F224" s="42">
        <f t="shared" si="3"/>
        <v>0</v>
      </c>
    </row>
    <row r="225" spans="2:6" x14ac:dyDescent="0.3">
      <c r="B225" s="42" t="str">
        <f>IF(Setup!$B$3:$B$324&lt;&gt;"",Setup!$B$3:$B$324,"")</f>
        <v/>
      </c>
      <c r="C225" s="46" t="str">
        <f>IF(Setup!$C$3:$C$324&lt;&gt;"",Setup!$C$3:$C$324,"")</f>
        <v/>
      </c>
      <c r="D225" s="42">
        <f t="array" ref="D225">SUM(IF(B225=Setup!$B$3:$B$1022,Setup!$D$3:$D$1022))</f>
        <v>0</v>
      </c>
      <c r="E225" s="42">
        <f>SUMIF(Sales!A:A,Stock!B225,Sales!D:D)</f>
        <v>0</v>
      </c>
      <c r="F225" s="42">
        <f t="shared" si="3"/>
        <v>0</v>
      </c>
    </row>
    <row r="226" spans="2:6" x14ac:dyDescent="0.3">
      <c r="B226" s="42" t="str">
        <f>IF(Setup!$B$3:$B$324&lt;&gt;"",Setup!$B$3:$B$324,"")</f>
        <v/>
      </c>
      <c r="C226" s="46" t="str">
        <f>IF(Setup!$C$3:$C$324&lt;&gt;"",Setup!$C$3:$C$324,"")</f>
        <v/>
      </c>
      <c r="D226" s="42">
        <f t="array" ref="D226">SUM(IF(B226=Setup!$B$3:$B$1022,Setup!$D$3:$D$1022))</f>
        <v>0</v>
      </c>
      <c r="E226" s="42">
        <f>SUMIF(Sales!A:A,Stock!B226,Sales!D:D)</f>
        <v>0</v>
      </c>
      <c r="F226" s="42">
        <f t="shared" si="3"/>
        <v>0</v>
      </c>
    </row>
    <row r="227" spans="2:6" x14ac:dyDescent="0.3">
      <c r="B227" s="42" t="str">
        <f>IF(Setup!$B$3:$B$324&lt;&gt;"",Setup!$B$3:$B$324,"")</f>
        <v/>
      </c>
      <c r="C227" s="46" t="str">
        <f>IF(Setup!$C$3:$C$324&lt;&gt;"",Setup!$C$3:$C$324,"")</f>
        <v/>
      </c>
      <c r="D227" s="42">
        <f t="array" ref="D227">SUM(IF(B227=Setup!$B$3:$B$1022,Setup!$D$3:$D$1022))</f>
        <v>0</v>
      </c>
      <c r="E227" s="42">
        <f>SUMIF(Sales!A:A,Stock!B227,Sales!D:D)</f>
        <v>0</v>
      </c>
      <c r="F227" s="42">
        <f t="shared" si="3"/>
        <v>0</v>
      </c>
    </row>
    <row r="228" spans="2:6" x14ac:dyDescent="0.3">
      <c r="B228" s="42" t="str">
        <f>IF(Setup!$B$3:$B$324&lt;&gt;"",Setup!$B$3:$B$324,"")</f>
        <v/>
      </c>
      <c r="C228" s="46" t="str">
        <f>IF(Setup!$C$3:$C$324&lt;&gt;"",Setup!$C$3:$C$324,"")</f>
        <v/>
      </c>
      <c r="D228" s="42">
        <f t="array" ref="D228">SUM(IF(B228=Setup!$B$3:$B$1022,Setup!$D$3:$D$1022))</f>
        <v>0</v>
      </c>
      <c r="E228" s="42">
        <f>SUMIF(Sales!A:A,Stock!B228,Sales!D:D)</f>
        <v>0</v>
      </c>
      <c r="F228" s="42">
        <f t="shared" si="3"/>
        <v>0</v>
      </c>
    </row>
    <row r="229" spans="2:6" x14ac:dyDescent="0.3">
      <c r="B229" s="42" t="str">
        <f>IF(Setup!$B$3:$B$324&lt;&gt;"",Setup!$B$3:$B$324,"")</f>
        <v/>
      </c>
      <c r="C229" s="46" t="str">
        <f>IF(Setup!$C$3:$C$324&lt;&gt;"",Setup!$C$3:$C$324,"")</f>
        <v/>
      </c>
      <c r="D229" s="42">
        <f t="array" ref="D229">SUM(IF(B229=Setup!$B$3:$B$1022,Setup!$D$3:$D$1022))</f>
        <v>0</v>
      </c>
      <c r="E229" s="42">
        <f>SUMIF(Sales!A:A,Stock!B229,Sales!D:D)</f>
        <v>0</v>
      </c>
      <c r="F229" s="42">
        <f t="shared" si="3"/>
        <v>0</v>
      </c>
    </row>
    <row r="230" spans="2:6" x14ac:dyDescent="0.3">
      <c r="B230" s="42" t="str">
        <f>IF(Setup!$B$3:$B$324&lt;&gt;"",Setup!$B$3:$B$324,"")</f>
        <v/>
      </c>
      <c r="C230" s="46" t="str">
        <f>IF(Setup!$C$3:$C$324&lt;&gt;"",Setup!$C$3:$C$324,"")</f>
        <v/>
      </c>
      <c r="D230" s="42">
        <f t="array" ref="D230">SUM(IF(B230=Setup!$B$3:$B$1022,Setup!$D$3:$D$1022))</f>
        <v>0</v>
      </c>
      <c r="E230" s="42">
        <f>SUMIF(Sales!A:A,Stock!B230,Sales!D:D)</f>
        <v>0</v>
      </c>
      <c r="F230" s="42">
        <f t="shared" si="3"/>
        <v>0</v>
      </c>
    </row>
    <row r="231" spans="2:6" x14ac:dyDescent="0.3">
      <c r="B231" s="42" t="str">
        <f>IF(Setup!$B$3:$B$324&lt;&gt;"",Setup!$B$3:$B$324,"")</f>
        <v/>
      </c>
      <c r="C231" s="46" t="str">
        <f>IF(Setup!$C$3:$C$324&lt;&gt;"",Setup!$C$3:$C$324,"")</f>
        <v/>
      </c>
      <c r="D231" s="42">
        <f t="array" ref="D231">SUM(IF(B231=Setup!$B$3:$B$1022,Setup!$D$3:$D$1022))</f>
        <v>0</v>
      </c>
      <c r="E231" s="42">
        <f>SUMIF(Sales!A:A,Stock!B231,Sales!D:D)</f>
        <v>0</v>
      </c>
      <c r="F231" s="42">
        <f t="shared" si="3"/>
        <v>0</v>
      </c>
    </row>
    <row r="232" spans="2:6" x14ac:dyDescent="0.3">
      <c r="B232" s="42" t="str">
        <f>IF(Setup!$B$3:$B$324&lt;&gt;"",Setup!$B$3:$B$324,"")</f>
        <v/>
      </c>
      <c r="C232" s="46" t="str">
        <f>IF(Setup!$C$3:$C$324&lt;&gt;"",Setup!$C$3:$C$324,"")</f>
        <v/>
      </c>
      <c r="D232" s="42">
        <f t="array" ref="D232">SUM(IF(B232=Setup!$B$3:$B$1022,Setup!$D$3:$D$1022))</f>
        <v>0</v>
      </c>
      <c r="E232" s="42">
        <f>SUMIF(Sales!A:A,Stock!B232,Sales!D:D)</f>
        <v>0</v>
      </c>
      <c r="F232" s="42">
        <f t="shared" si="3"/>
        <v>0</v>
      </c>
    </row>
    <row r="233" spans="2:6" x14ac:dyDescent="0.3">
      <c r="B233" s="42" t="str">
        <f>IF(Setup!$B$3:$B$324&lt;&gt;"",Setup!$B$3:$B$324,"")</f>
        <v/>
      </c>
      <c r="C233" s="46" t="str">
        <f>IF(Setup!$C$3:$C$324&lt;&gt;"",Setup!$C$3:$C$324,"")</f>
        <v/>
      </c>
      <c r="D233" s="42">
        <f t="array" ref="D233">SUM(IF(B233=Setup!$B$3:$B$1022,Setup!$D$3:$D$1022))</f>
        <v>0</v>
      </c>
      <c r="E233" s="42">
        <f>SUMIF(Sales!A:A,Stock!B233,Sales!D:D)</f>
        <v>0</v>
      </c>
      <c r="F233" s="42">
        <f t="shared" si="3"/>
        <v>0</v>
      </c>
    </row>
    <row r="234" spans="2:6" x14ac:dyDescent="0.3">
      <c r="B234" s="42" t="str">
        <f>IF(Setup!$B$3:$B$324&lt;&gt;"",Setup!$B$3:$B$324,"")</f>
        <v/>
      </c>
      <c r="C234" s="46" t="str">
        <f>IF(Setup!$C$3:$C$324&lt;&gt;"",Setup!$C$3:$C$324,"")</f>
        <v/>
      </c>
      <c r="D234" s="42">
        <f t="array" ref="D234">SUM(IF(B234=Setup!$B$3:$B$1022,Setup!$D$3:$D$1022))</f>
        <v>0</v>
      </c>
      <c r="E234" s="42">
        <f>SUMIF(Sales!A:A,Stock!B234,Sales!D:D)</f>
        <v>0</v>
      </c>
      <c r="F234" s="42">
        <f t="shared" si="3"/>
        <v>0</v>
      </c>
    </row>
    <row r="235" spans="2:6" x14ac:dyDescent="0.3">
      <c r="B235" s="42" t="str">
        <f>IF(Setup!$B$3:$B$324&lt;&gt;"",Setup!$B$3:$B$324,"")</f>
        <v/>
      </c>
      <c r="C235" s="46" t="str">
        <f>IF(Setup!$C$3:$C$324&lt;&gt;"",Setup!$C$3:$C$324,"")</f>
        <v/>
      </c>
      <c r="D235" s="42">
        <f t="array" ref="D235">SUM(IF(B235=Setup!$B$3:$B$1022,Setup!$D$3:$D$1022))</f>
        <v>0</v>
      </c>
      <c r="E235" s="42">
        <f>SUMIF(Sales!A:A,Stock!B235,Sales!D:D)</f>
        <v>0</v>
      </c>
      <c r="F235" s="42">
        <f t="shared" si="3"/>
        <v>0</v>
      </c>
    </row>
    <row r="236" spans="2:6" x14ac:dyDescent="0.3">
      <c r="B236" s="42" t="str">
        <f>IF(Setup!$B$3:$B$324&lt;&gt;"",Setup!$B$3:$B$324,"")</f>
        <v/>
      </c>
      <c r="C236" s="46" t="str">
        <f>IF(Setup!$C$3:$C$324&lt;&gt;"",Setup!$C$3:$C$324,"")</f>
        <v/>
      </c>
      <c r="D236" s="42">
        <f t="array" ref="D236">SUM(IF(B236=Setup!$B$3:$B$1022,Setup!$D$3:$D$1022))</f>
        <v>0</v>
      </c>
      <c r="E236" s="42">
        <f>SUMIF(Sales!A:A,Stock!B236,Sales!D:D)</f>
        <v>0</v>
      </c>
      <c r="F236" s="42">
        <f t="shared" si="3"/>
        <v>0</v>
      </c>
    </row>
    <row r="237" spans="2:6" x14ac:dyDescent="0.3">
      <c r="B237" s="42" t="str">
        <f>IF(Setup!$B$3:$B$324&lt;&gt;"",Setup!$B$3:$B$324,"")</f>
        <v/>
      </c>
      <c r="C237" s="46" t="str">
        <f>IF(Setup!$C$3:$C$324&lt;&gt;"",Setup!$C$3:$C$324,"")</f>
        <v/>
      </c>
      <c r="D237" s="42">
        <f t="array" ref="D237">SUM(IF(B237=Setup!$B$3:$B$1022,Setup!$D$3:$D$1022))</f>
        <v>0</v>
      </c>
      <c r="E237" s="42">
        <f>SUMIF(Sales!A:A,Stock!B237,Sales!D:D)</f>
        <v>0</v>
      </c>
      <c r="F237" s="42">
        <f t="shared" si="3"/>
        <v>0</v>
      </c>
    </row>
    <row r="238" spans="2:6" x14ac:dyDescent="0.3">
      <c r="B238" s="42" t="str">
        <f>IF(Setup!$B$3:$B$324&lt;&gt;"",Setup!$B$3:$B$324,"")</f>
        <v/>
      </c>
      <c r="C238" s="46" t="str">
        <f>IF(Setup!$C$3:$C$324&lt;&gt;"",Setup!$C$3:$C$324,"")</f>
        <v/>
      </c>
      <c r="D238" s="42">
        <f t="array" ref="D238">SUM(IF(B238=Setup!$B$3:$B$1022,Setup!$D$3:$D$1022))</f>
        <v>0</v>
      </c>
      <c r="E238" s="42">
        <f>SUMIF(Sales!A:A,Stock!B238,Sales!D:D)</f>
        <v>0</v>
      </c>
      <c r="F238" s="42">
        <f t="shared" si="3"/>
        <v>0</v>
      </c>
    </row>
    <row r="239" spans="2:6" x14ac:dyDescent="0.3">
      <c r="B239" s="42" t="str">
        <f>IF(Setup!$B$3:$B$324&lt;&gt;"",Setup!$B$3:$B$324,"")</f>
        <v/>
      </c>
      <c r="C239" s="46" t="str">
        <f>IF(Setup!$C$3:$C$324&lt;&gt;"",Setup!$C$3:$C$324,"")</f>
        <v/>
      </c>
      <c r="D239" s="42">
        <f t="array" ref="D239">SUM(IF(B239=Setup!$B$3:$B$1022,Setup!$D$3:$D$1022))</f>
        <v>0</v>
      </c>
      <c r="E239" s="42">
        <f>SUMIF(Sales!A:A,Stock!B239,Sales!D:D)</f>
        <v>0</v>
      </c>
      <c r="F239" s="42">
        <f t="shared" si="3"/>
        <v>0</v>
      </c>
    </row>
    <row r="240" spans="2:6" x14ac:dyDescent="0.3">
      <c r="B240" s="42" t="str">
        <f>IF(Setup!$B$3:$B$324&lt;&gt;"",Setup!$B$3:$B$324,"")</f>
        <v/>
      </c>
      <c r="C240" s="46" t="str">
        <f>IF(Setup!$C$3:$C$324&lt;&gt;"",Setup!$C$3:$C$324,"")</f>
        <v/>
      </c>
      <c r="D240" s="42">
        <f t="array" ref="D240">SUM(IF(B240=Setup!$B$3:$B$1022,Setup!$D$3:$D$1022))</f>
        <v>0</v>
      </c>
      <c r="E240" s="42">
        <f>SUMIF(Sales!A:A,Stock!B240,Sales!D:D)</f>
        <v>0</v>
      </c>
      <c r="F240" s="42">
        <f t="shared" si="3"/>
        <v>0</v>
      </c>
    </row>
    <row r="241" spans="2:6" x14ac:dyDescent="0.3">
      <c r="B241" s="42" t="str">
        <f>IF(Setup!$B$3:$B$324&lt;&gt;"",Setup!$B$3:$B$324,"")</f>
        <v/>
      </c>
      <c r="C241" s="46" t="str">
        <f>IF(Setup!$C$3:$C$324&lt;&gt;"",Setup!$C$3:$C$324,"")</f>
        <v/>
      </c>
      <c r="D241" s="42">
        <f t="array" ref="D241">SUM(IF(B241=Setup!$B$3:$B$1022,Setup!$D$3:$D$1022))</f>
        <v>0</v>
      </c>
      <c r="E241" s="42">
        <f>SUMIF(Sales!A:A,Stock!B241,Sales!D:D)</f>
        <v>0</v>
      </c>
      <c r="F241" s="42">
        <f t="shared" si="3"/>
        <v>0</v>
      </c>
    </row>
    <row r="242" spans="2:6" x14ac:dyDescent="0.3">
      <c r="B242" s="42" t="str">
        <f>IF(Setup!$B$3:$B$324&lt;&gt;"",Setup!$B$3:$B$324,"")</f>
        <v/>
      </c>
      <c r="C242" s="46" t="str">
        <f>IF(Setup!$C$3:$C$324&lt;&gt;"",Setup!$C$3:$C$324,"")</f>
        <v/>
      </c>
      <c r="D242" s="42">
        <f t="array" ref="D242">SUM(IF(B242=Setup!$B$3:$B$1022,Setup!$D$3:$D$1022))</f>
        <v>0</v>
      </c>
      <c r="E242" s="42">
        <f>SUMIF(Sales!A:A,Stock!B242,Sales!D:D)</f>
        <v>0</v>
      </c>
      <c r="F242" s="42">
        <f t="shared" si="3"/>
        <v>0</v>
      </c>
    </row>
    <row r="243" spans="2:6" x14ac:dyDescent="0.3">
      <c r="B243" s="42" t="str">
        <f>IF(Setup!$B$3:$B$324&lt;&gt;"",Setup!$B$3:$B$324,"")</f>
        <v/>
      </c>
      <c r="C243" s="46" t="str">
        <f>IF(Setup!$C$3:$C$324&lt;&gt;"",Setup!$C$3:$C$324,"")</f>
        <v/>
      </c>
      <c r="D243" s="42">
        <f t="array" ref="D243">SUM(IF(B243=Setup!$B$3:$B$1022,Setup!$D$3:$D$1022))</f>
        <v>0</v>
      </c>
      <c r="E243" s="42">
        <f>SUMIF(Sales!A:A,Stock!B243,Sales!D:D)</f>
        <v>0</v>
      </c>
      <c r="F243" s="42">
        <f t="shared" si="3"/>
        <v>0</v>
      </c>
    </row>
    <row r="244" spans="2:6" x14ac:dyDescent="0.3">
      <c r="B244" s="42" t="str">
        <f>IF(Setup!$B$3:$B$324&lt;&gt;"",Setup!$B$3:$B$324,"")</f>
        <v/>
      </c>
      <c r="C244" s="46" t="str">
        <f>IF(Setup!$C$3:$C$324&lt;&gt;"",Setup!$C$3:$C$324,"")</f>
        <v/>
      </c>
      <c r="D244" s="42">
        <f t="array" ref="D244">SUM(IF(B244=Setup!$B$3:$B$1022,Setup!$D$3:$D$1022))</f>
        <v>0</v>
      </c>
      <c r="E244" s="42">
        <f>SUMIF(Sales!A:A,Stock!B244,Sales!D:D)</f>
        <v>0</v>
      </c>
      <c r="F244" s="42">
        <f t="shared" si="3"/>
        <v>0</v>
      </c>
    </row>
    <row r="245" spans="2:6" x14ac:dyDescent="0.3">
      <c r="B245" s="42" t="str">
        <f>IF(Setup!$B$3:$B$324&lt;&gt;"",Setup!$B$3:$B$324,"")</f>
        <v/>
      </c>
      <c r="C245" s="46" t="str">
        <f>IF(Setup!$C$3:$C$324&lt;&gt;"",Setup!$C$3:$C$324,"")</f>
        <v/>
      </c>
      <c r="D245" s="42">
        <f t="array" ref="D245">SUM(IF(B245=Setup!$B$3:$B$1022,Setup!$D$3:$D$1022))</f>
        <v>0</v>
      </c>
      <c r="E245" s="42">
        <f>SUMIF(Sales!A:A,Stock!B245,Sales!D:D)</f>
        <v>0</v>
      </c>
      <c r="F245" s="42">
        <f t="shared" si="3"/>
        <v>0</v>
      </c>
    </row>
    <row r="246" spans="2:6" x14ac:dyDescent="0.3">
      <c r="B246" s="42" t="str">
        <f>IF(Setup!$B$3:$B$324&lt;&gt;"",Setup!$B$3:$B$324,"")</f>
        <v/>
      </c>
      <c r="C246" s="46" t="str">
        <f>IF(Setup!$C$3:$C$324&lt;&gt;"",Setup!$C$3:$C$324,"")</f>
        <v/>
      </c>
      <c r="D246" s="42">
        <f t="array" ref="D246">SUM(IF(B246=Setup!$B$3:$B$1022,Setup!$D$3:$D$1022))</f>
        <v>0</v>
      </c>
      <c r="E246" s="42">
        <f>SUMIF(Sales!A:A,Stock!B246,Sales!D:D)</f>
        <v>0</v>
      </c>
      <c r="F246" s="42">
        <f t="shared" si="3"/>
        <v>0</v>
      </c>
    </row>
    <row r="247" spans="2:6" x14ac:dyDescent="0.3">
      <c r="B247" s="42" t="str">
        <f>IF(Setup!$B$3:$B$324&lt;&gt;"",Setup!$B$3:$B$324,"")</f>
        <v/>
      </c>
      <c r="C247" s="46" t="str">
        <f>IF(Setup!$C$3:$C$324&lt;&gt;"",Setup!$C$3:$C$324,"")</f>
        <v/>
      </c>
      <c r="D247" s="42">
        <f t="array" ref="D247">SUM(IF(B247=Setup!$B$3:$B$1022,Setup!$D$3:$D$1022))</f>
        <v>0</v>
      </c>
      <c r="E247" s="42">
        <f>SUMIF(Sales!A:A,Stock!B247,Sales!D:D)</f>
        <v>0</v>
      </c>
      <c r="F247" s="42">
        <f t="shared" si="3"/>
        <v>0</v>
      </c>
    </row>
    <row r="248" spans="2:6" x14ac:dyDescent="0.3">
      <c r="B248" s="42" t="str">
        <f>IF(Setup!$B$3:$B$324&lt;&gt;"",Setup!$B$3:$B$324,"")</f>
        <v/>
      </c>
      <c r="C248" s="46" t="str">
        <f>IF(Setup!$C$3:$C$324&lt;&gt;"",Setup!$C$3:$C$324,"")</f>
        <v/>
      </c>
      <c r="D248" s="42">
        <f t="array" ref="D248">SUM(IF(B248=Setup!$B$3:$B$1022,Setup!$D$3:$D$1022))</f>
        <v>0</v>
      </c>
      <c r="E248" s="42">
        <f>SUMIF(Sales!A:A,Stock!B248,Sales!D:D)</f>
        <v>0</v>
      </c>
      <c r="F248" s="42">
        <f t="shared" si="3"/>
        <v>0</v>
      </c>
    </row>
    <row r="249" spans="2:6" x14ac:dyDescent="0.3">
      <c r="B249" s="42" t="str">
        <f>IF(Setup!$B$3:$B$324&lt;&gt;"",Setup!$B$3:$B$324,"")</f>
        <v/>
      </c>
      <c r="C249" s="46" t="str">
        <f>IF(Setup!$C$3:$C$324&lt;&gt;"",Setup!$C$3:$C$324,"")</f>
        <v/>
      </c>
      <c r="D249" s="42">
        <f t="array" ref="D249">SUM(IF(B249=Setup!$B$3:$B$1022,Setup!$D$3:$D$1022))</f>
        <v>0</v>
      </c>
      <c r="E249" s="42">
        <f>SUMIF(Sales!A:A,Stock!B249,Sales!D:D)</f>
        <v>0</v>
      </c>
      <c r="F249" s="42">
        <f t="shared" si="3"/>
        <v>0</v>
      </c>
    </row>
    <row r="250" spans="2:6" x14ac:dyDescent="0.3">
      <c r="B250" s="42" t="str">
        <f>IF(Setup!$B$3:$B$324&lt;&gt;"",Setup!$B$3:$B$324,"")</f>
        <v/>
      </c>
      <c r="C250" s="46" t="str">
        <f>IF(Setup!$C$3:$C$324&lt;&gt;"",Setup!$C$3:$C$324,"")</f>
        <v/>
      </c>
      <c r="D250" s="42">
        <f t="array" ref="D250">SUM(IF(B250=Setup!$B$3:$B$1022,Setup!$D$3:$D$1022))</f>
        <v>0</v>
      </c>
      <c r="E250" s="42">
        <f>SUMIF(Sales!A:A,Stock!B250,Sales!D:D)</f>
        <v>0</v>
      </c>
      <c r="F250" s="42">
        <f t="shared" si="3"/>
        <v>0</v>
      </c>
    </row>
    <row r="251" spans="2:6" x14ac:dyDescent="0.3">
      <c r="B251" s="42" t="str">
        <f>IF(Setup!$B$3:$B$324&lt;&gt;"",Setup!$B$3:$B$324,"")</f>
        <v/>
      </c>
      <c r="C251" s="46" t="str">
        <f>IF(Setup!$C$3:$C$324&lt;&gt;"",Setup!$C$3:$C$324,"")</f>
        <v/>
      </c>
      <c r="D251" s="42">
        <f t="array" ref="D251">SUM(IF(B251=Setup!$B$3:$B$1022,Setup!$D$3:$D$1022))</f>
        <v>0</v>
      </c>
      <c r="E251" s="42">
        <f>SUMIF(Sales!A:A,Stock!B251,Sales!D:D)</f>
        <v>0</v>
      </c>
      <c r="F251" s="42">
        <f t="shared" si="3"/>
        <v>0</v>
      </c>
    </row>
    <row r="252" spans="2:6" x14ac:dyDescent="0.3">
      <c r="B252" s="42" t="str">
        <f>IF(Setup!$B$3:$B$324&lt;&gt;"",Setup!$B$3:$B$324,"")</f>
        <v/>
      </c>
      <c r="C252" s="46" t="str">
        <f>IF(Setup!$C$3:$C$324&lt;&gt;"",Setup!$C$3:$C$324,"")</f>
        <v/>
      </c>
      <c r="D252" s="42">
        <f t="array" ref="D252">SUM(IF(B252=Setup!$B$3:$B$1022,Setup!$D$3:$D$1022))</f>
        <v>0</v>
      </c>
      <c r="E252" s="42">
        <f>SUMIF(Sales!A:A,Stock!B252,Sales!D:D)</f>
        <v>0</v>
      </c>
      <c r="F252" s="42">
        <f t="shared" si="3"/>
        <v>0</v>
      </c>
    </row>
    <row r="253" spans="2:6" x14ac:dyDescent="0.3">
      <c r="B253" s="42" t="str">
        <f>IF(Setup!$B$3:$B$324&lt;&gt;"",Setup!$B$3:$B$324,"")</f>
        <v/>
      </c>
      <c r="C253" s="46" t="str">
        <f>IF(Setup!$C$3:$C$324&lt;&gt;"",Setup!$C$3:$C$324,"")</f>
        <v/>
      </c>
      <c r="D253" s="42">
        <f t="array" ref="D253">SUM(IF(B253=Setup!$B$3:$B$1022,Setup!$D$3:$D$1022))</f>
        <v>0</v>
      </c>
      <c r="E253" s="42">
        <f>SUMIF(Sales!A:A,Stock!B253,Sales!D:D)</f>
        <v>0</v>
      </c>
      <c r="F253" s="42">
        <f t="shared" si="3"/>
        <v>0</v>
      </c>
    </row>
    <row r="254" spans="2:6" x14ac:dyDescent="0.3">
      <c r="B254" s="42" t="str">
        <f>IF(Setup!$B$3:$B$324&lt;&gt;"",Setup!$B$3:$B$324,"")</f>
        <v/>
      </c>
      <c r="C254" s="46" t="str">
        <f>IF(Setup!$C$3:$C$324&lt;&gt;"",Setup!$C$3:$C$324,"")</f>
        <v/>
      </c>
      <c r="D254" s="42">
        <f t="array" ref="D254">SUM(IF(B254=Setup!$B$3:$B$1022,Setup!$D$3:$D$1022))</f>
        <v>0</v>
      </c>
      <c r="E254" s="42">
        <f>SUMIF(Sales!A:A,Stock!B254,Sales!D:D)</f>
        <v>0</v>
      </c>
      <c r="F254" s="42">
        <f t="shared" si="3"/>
        <v>0</v>
      </c>
    </row>
    <row r="255" spans="2:6" x14ac:dyDescent="0.3">
      <c r="B255" s="42" t="str">
        <f>IF(Setup!$B$3:$B$324&lt;&gt;"",Setup!$B$3:$B$324,"")</f>
        <v/>
      </c>
      <c r="C255" s="46" t="str">
        <f>IF(Setup!$C$3:$C$324&lt;&gt;"",Setup!$C$3:$C$324,"")</f>
        <v/>
      </c>
      <c r="D255" s="42">
        <f t="array" ref="D255">SUM(IF(B255=Setup!$B$3:$B$1022,Setup!$D$3:$D$1022))</f>
        <v>0</v>
      </c>
      <c r="E255" s="42">
        <f>SUMIF(Sales!A:A,Stock!B255,Sales!D:D)</f>
        <v>0</v>
      </c>
      <c r="F255" s="42">
        <f t="shared" si="3"/>
        <v>0</v>
      </c>
    </row>
    <row r="256" spans="2:6" x14ac:dyDescent="0.3">
      <c r="B256" s="42" t="str">
        <f>IF(Setup!$B$3:$B$324&lt;&gt;"",Setup!$B$3:$B$324,"")</f>
        <v/>
      </c>
      <c r="C256" s="46" t="str">
        <f>IF(Setup!$C$3:$C$324&lt;&gt;"",Setup!$C$3:$C$324,"")</f>
        <v/>
      </c>
      <c r="D256" s="42">
        <f t="array" ref="D256">SUM(IF(B256=Setup!$B$3:$B$1022,Setup!$D$3:$D$1022))</f>
        <v>0</v>
      </c>
      <c r="E256" s="42">
        <f>SUMIF(Sales!A:A,Stock!B256,Sales!D:D)</f>
        <v>0</v>
      </c>
      <c r="F256" s="42">
        <f t="shared" si="3"/>
        <v>0</v>
      </c>
    </row>
    <row r="257" spans="2:6" x14ac:dyDescent="0.3">
      <c r="B257" s="42" t="str">
        <f>IF(Setup!$B$3:$B$324&lt;&gt;"",Setup!$B$3:$B$324,"")</f>
        <v/>
      </c>
      <c r="C257" s="46" t="str">
        <f>IF(Setup!$C$3:$C$324&lt;&gt;"",Setup!$C$3:$C$324,"")</f>
        <v/>
      </c>
      <c r="D257" s="42">
        <f t="array" ref="D257">SUM(IF(B257=Setup!$B$3:$B$1022,Setup!$D$3:$D$1022))</f>
        <v>0</v>
      </c>
      <c r="E257" s="42">
        <f>SUMIF(Sales!A:A,Stock!B257,Sales!D:D)</f>
        <v>0</v>
      </c>
      <c r="F257" s="42">
        <f t="shared" si="3"/>
        <v>0</v>
      </c>
    </row>
    <row r="258" spans="2:6" x14ac:dyDescent="0.3">
      <c r="B258" s="42" t="str">
        <f>IF(Setup!$B$3:$B$324&lt;&gt;"",Setup!$B$3:$B$324,"")</f>
        <v/>
      </c>
      <c r="C258" s="46" t="str">
        <f>IF(Setup!$C$3:$C$324&lt;&gt;"",Setup!$C$3:$C$324,"")</f>
        <v/>
      </c>
      <c r="D258" s="42">
        <f t="array" ref="D258">SUM(IF(B258=Setup!$B$3:$B$1022,Setup!$D$3:$D$1022))</f>
        <v>0</v>
      </c>
      <c r="E258" s="42">
        <f>SUMIF(Sales!A:A,Stock!B258,Sales!D:D)</f>
        <v>0</v>
      </c>
      <c r="F258" s="42">
        <f t="shared" si="3"/>
        <v>0</v>
      </c>
    </row>
    <row r="259" spans="2:6" x14ac:dyDescent="0.3">
      <c r="B259" s="42" t="str">
        <f>IF(Setup!$B$3:$B$324&lt;&gt;"",Setup!$B$3:$B$324,"")</f>
        <v/>
      </c>
      <c r="C259" s="46" t="str">
        <f>IF(Setup!$C$3:$C$324&lt;&gt;"",Setup!$C$3:$C$324,"")</f>
        <v/>
      </c>
      <c r="D259" s="42">
        <f t="array" ref="D259">SUM(IF(B259=Setup!$B$3:$B$1022,Setup!$D$3:$D$1022))</f>
        <v>0</v>
      </c>
      <c r="E259" s="42">
        <f>SUMIF(Sales!A:A,Stock!B259,Sales!D:D)</f>
        <v>0</v>
      </c>
      <c r="F259" s="42">
        <f t="shared" ref="F259:F322" si="4">+D259-E259</f>
        <v>0</v>
      </c>
    </row>
    <row r="260" spans="2:6" x14ac:dyDescent="0.3">
      <c r="B260" s="42" t="str">
        <f>IF(Setup!$B$3:$B$324&lt;&gt;"",Setup!$B$3:$B$324,"")</f>
        <v/>
      </c>
      <c r="C260" s="46" t="str">
        <f>IF(Setup!$C$3:$C$324&lt;&gt;"",Setup!$C$3:$C$324,"")</f>
        <v/>
      </c>
      <c r="D260" s="42">
        <f t="array" ref="D260">SUM(IF(B260=Setup!$B$3:$B$1022,Setup!$D$3:$D$1022))</f>
        <v>0</v>
      </c>
      <c r="E260" s="42">
        <f>SUMIF(Sales!A:A,Stock!B260,Sales!D:D)</f>
        <v>0</v>
      </c>
      <c r="F260" s="42">
        <f t="shared" si="4"/>
        <v>0</v>
      </c>
    </row>
    <row r="261" spans="2:6" x14ac:dyDescent="0.3">
      <c r="B261" s="42" t="str">
        <f>IF(Setup!$B$3:$B$324&lt;&gt;"",Setup!$B$3:$B$324,"")</f>
        <v/>
      </c>
      <c r="C261" s="46" t="str">
        <f>IF(Setup!$C$3:$C$324&lt;&gt;"",Setup!$C$3:$C$324,"")</f>
        <v/>
      </c>
      <c r="D261" s="42">
        <f t="array" ref="D261">SUM(IF(B261=Setup!$B$3:$B$1022,Setup!$D$3:$D$1022))</f>
        <v>0</v>
      </c>
      <c r="E261" s="42">
        <f>SUMIF(Sales!A:A,Stock!B261,Sales!D:D)</f>
        <v>0</v>
      </c>
      <c r="F261" s="42">
        <f t="shared" si="4"/>
        <v>0</v>
      </c>
    </row>
    <row r="262" spans="2:6" x14ac:dyDescent="0.3">
      <c r="B262" s="42" t="str">
        <f>IF(Setup!$B$3:$B$324&lt;&gt;"",Setup!$B$3:$B$324,"")</f>
        <v/>
      </c>
      <c r="C262" s="46" t="str">
        <f>IF(Setup!$C$3:$C$324&lt;&gt;"",Setup!$C$3:$C$324,"")</f>
        <v/>
      </c>
      <c r="D262" s="42">
        <f t="array" ref="D262">SUM(IF(B262=Setup!$B$3:$B$1022,Setup!$D$3:$D$1022))</f>
        <v>0</v>
      </c>
      <c r="E262" s="42">
        <f>SUMIF(Sales!A:A,Stock!B262,Sales!D:D)</f>
        <v>0</v>
      </c>
      <c r="F262" s="42">
        <f t="shared" si="4"/>
        <v>0</v>
      </c>
    </row>
    <row r="263" spans="2:6" x14ac:dyDescent="0.3">
      <c r="B263" s="42" t="str">
        <f>IF(Setup!$B$3:$B$324&lt;&gt;"",Setup!$B$3:$B$324,"")</f>
        <v/>
      </c>
      <c r="C263" s="46" t="str">
        <f>IF(Setup!$C$3:$C$324&lt;&gt;"",Setup!$C$3:$C$324,"")</f>
        <v/>
      </c>
      <c r="D263" s="42">
        <f t="array" ref="D263">SUM(IF(B263=Setup!$B$3:$B$1022,Setup!$D$3:$D$1022))</f>
        <v>0</v>
      </c>
      <c r="E263" s="42">
        <f>SUMIF(Sales!A:A,Stock!B263,Sales!D:D)</f>
        <v>0</v>
      </c>
      <c r="F263" s="42">
        <f t="shared" si="4"/>
        <v>0</v>
      </c>
    </row>
    <row r="264" spans="2:6" x14ac:dyDescent="0.3">
      <c r="B264" s="42" t="str">
        <f>IF(Setup!$B$3:$B$324&lt;&gt;"",Setup!$B$3:$B$324,"")</f>
        <v/>
      </c>
      <c r="C264" s="46" t="str">
        <f>IF(Setup!$C$3:$C$324&lt;&gt;"",Setup!$C$3:$C$324,"")</f>
        <v/>
      </c>
      <c r="D264" s="42">
        <f t="array" ref="D264">SUM(IF(B264=Setup!$B$3:$B$1022,Setup!$D$3:$D$1022))</f>
        <v>0</v>
      </c>
      <c r="E264" s="42">
        <f>SUMIF(Sales!A:A,Stock!B264,Sales!D:D)</f>
        <v>0</v>
      </c>
      <c r="F264" s="42">
        <f t="shared" si="4"/>
        <v>0</v>
      </c>
    </row>
    <row r="265" spans="2:6" x14ac:dyDescent="0.3">
      <c r="B265" s="42" t="str">
        <f>IF(Setup!$B$3:$B$324&lt;&gt;"",Setup!$B$3:$B$324,"")</f>
        <v/>
      </c>
      <c r="C265" s="46" t="str">
        <f>IF(Setup!$C$3:$C$324&lt;&gt;"",Setup!$C$3:$C$324,"")</f>
        <v/>
      </c>
      <c r="D265" s="42">
        <f t="array" ref="D265">SUM(IF(B265=Setup!$B$3:$B$1022,Setup!$D$3:$D$1022))</f>
        <v>0</v>
      </c>
      <c r="E265" s="42">
        <f>SUMIF(Sales!A:A,Stock!B265,Sales!D:D)</f>
        <v>0</v>
      </c>
      <c r="F265" s="42">
        <f t="shared" si="4"/>
        <v>0</v>
      </c>
    </row>
    <row r="266" spans="2:6" x14ac:dyDescent="0.3">
      <c r="B266" s="42" t="str">
        <f>IF(Setup!$B$3:$B$324&lt;&gt;"",Setup!$B$3:$B$324,"")</f>
        <v/>
      </c>
      <c r="C266" s="46" t="str">
        <f>IF(Setup!$C$3:$C$324&lt;&gt;"",Setup!$C$3:$C$324,"")</f>
        <v/>
      </c>
      <c r="D266" s="42">
        <f t="array" ref="D266">SUM(IF(B266=Setup!$B$3:$B$1022,Setup!$D$3:$D$1022))</f>
        <v>0</v>
      </c>
      <c r="E266" s="42">
        <f>SUMIF(Sales!A:A,Stock!B266,Sales!D:D)</f>
        <v>0</v>
      </c>
      <c r="F266" s="42">
        <f t="shared" si="4"/>
        <v>0</v>
      </c>
    </row>
    <row r="267" spans="2:6" x14ac:dyDescent="0.3">
      <c r="B267" s="42" t="str">
        <f>IF(Setup!$B$3:$B$324&lt;&gt;"",Setup!$B$3:$B$324,"")</f>
        <v/>
      </c>
      <c r="C267" s="46" t="str">
        <f>IF(Setup!$C$3:$C$324&lt;&gt;"",Setup!$C$3:$C$324,"")</f>
        <v/>
      </c>
      <c r="D267" s="42">
        <f t="array" ref="D267">SUM(IF(B267=Setup!$B$3:$B$1022,Setup!$D$3:$D$1022))</f>
        <v>0</v>
      </c>
      <c r="E267" s="42">
        <f>SUMIF(Sales!A:A,Stock!B267,Sales!D:D)</f>
        <v>0</v>
      </c>
      <c r="F267" s="42">
        <f t="shared" si="4"/>
        <v>0</v>
      </c>
    </row>
    <row r="268" spans="2:6" x14ac:dyDescent="0.3">
      <c r="B268" s="42" t="str">
        <f>IF(Setup!$B$3:$B$324&lt;&gt;"",Setup!$B$3:$B$324,"")</f>
        <v/>
      </c>
      <c r="C268" s="46" t="str">
        <f>IF(Setup!$C$3:$C$324&lt;&gt;"",Setup!$C$3:$C$324,"")</f>
        <v/>
      </c>
      <c r="D268" s="42">
        <f t="array" ref="D268">SUM(IF(B268=Setup!$B$3:$B$1022,Setup!$D$3:$D$1022))</f>
        <v>0</v>
      </c>
      <c r="E268" s="42">
        <f>SUMIF(Sales!A:A,Stock!B268,Sales!D:D)</f>
        <v>0</v>
      </c>
      <c r="F268" s="42">
        <f t="shared" si="4"/>
        <v>0</v>
      </c>
    </row>
    <row r="269" spans="2:6" x14ac:dyDescent="0.3">
      <c r="B269" s="42" t="str">
        <f>IF(Setup!$B$3:$B$324&lt;&gt;"",Setup!$B$3:$B$324,"")</f>
        <v/>
      </c>
      <c r="C269" s="46" t="str">
        <f>IF(Setup!$C$3:$C$324&lt;&gt;"",Setup!$C$3:$C$324,"")</f>
        <v/>
      </c>
      <c r="D269" s="42">
        <f t="array" ref="D269">SUM(IF(B269=Setup!$B$3:$B$1022,Setup!$D$3:$D$1022))</f>
        <v>0</v>
      </c>
      <c r="E269" s="42">
        <f>SUMIF(Sales!A:A,Stock!B269,Sales!D:D)</f>
        <v>0</v>
      </c>
      <c r="F269" s="42">
        <f t="shared" si="4"/>
        <v>0</v>
      </c>
    </row>
    <row r="270" spans="2:6" x14ac:dyDescent="0.3">
      <c r="B270" s="42" t="str">
        <f>IF(Setup!$B$3:$B$324&lt;&gt;"",Setup!$B$3:$B$324,"")</f>
        <v/>
      </c>
      <c r="C270" s="46" t="str">
        <f>IF(Setup!$C$3:$C$324&lt;&gt;"",Setup!$C$3:$C$324,"")</f>
        <v/>
      </c>
      <c r="D270" s="42">
        <f t="array" ref="D270">SUM(IF(B270=Setup!$B$3:$B$1022,Setup!$D$3:$D$1022))</f>
        <v>0</v>
      </c>
      <c r="E270" s="42">
        <f>SUMIF(Sales!A:A,Stock!B270,Sales!D:D)</f>
        <v>0</v>
      </c>
      <c r="F270" s="42">
        <f t="shared" si="4"/>
        <v>0</v>
      </c>
    </row>
    <row r="271" spans="2:6" x14ac:dyDescent="0.3">
      <c r="B271" s="42" t="str">
        <f>IF(Setup!$B$3:$B$324&lt;&gt;"",Setup!$B$3:$B$324,"")</f>
        <v/>
      </c>
      <c r="C271" s="46" t="str">
        <f>IF(Setup!$C$3:$C$324&lt;&gt;"",Setup!$C$3:$C$324,"")</f>
        <v/>
      </c>
      <c r="D271" s="42">
        <f t="array" ref="D271">SUM(IF(B271=Setup!$B$3:$B$1022,Setup!$D$3:$D$1022))</f>
        <v>0</v>
      </c>
      <c r="E271" s="42">
        <f>SUMIF(Sales!A:A,Stock!B271,Sales!D:D)</f>
        <v>0</v>
      </c>
      <c r="F271" s="42">
        <f t="shared" si="4"/>
        <v>0</v>
      </c>
    </row>
    <row r="272" spans="2:6" x14ac:dyDescent="0.3">
      <c r="B272" s="42" t="str">
        <f>IF(Setup!$B$3:$B$324&lt;&gt;"",Setup!$B$3:$B$324,"")</f>
        <v/>
      </c>
      <c r="C272" s="46" t="str">
        <f>IF(Setup!$C$3:$C$324&lt;&gt;"",Setup!$C$3:$C$324,"")</f>
        <v/>
      </c>
      <c r="D272" s="42">
        <f t="array" ref="D272">SUM(IF(B272=Setup!$B$3:$B$1022,Setup!$D$3:$D$1022))</f>
        <v>0</v>
      </c>
      <c r="E272" s="42">
        <f>SUMIF(Sales!A:A,Stock!B272,Sales!D:D)</f>
        <v>0</v>
      </c>
      <c r="F272" s="42">
        <f t="shared" si="4"/>
        <v>0</v>
      </c>
    </row>
    <row r="273" spans="2:6" x14ac:dyDescent="0.3">
      <c r="B273" s="42" t="str">
        <f>IF(Setup!$B$3:$B$324&lt;&gt;"",Setup!$B$3:$B$324,"")</f>
        <v/>
      </c>
      <c r="C273" s="46" t="str">
        <f>IF(Setup!$C$3:$C$324&lt;&gt;"",Setup!$C$3:$C$324,"")</f>
        <v/>
      </c>
      <c r="D273" s="42">
        <f t="array" ref="D273">SUM(IF(B273=Setup!$B$3:$B$1022,Setup!$D$3:$D$1022))</f>
        <v>0</v>
      </c>
      <c r="E273" s="42">
        <f>SUMIF(Sales!A:A,Stock!B273,Sales!D:D)</f>
        <v>0</v>
      </c>
      <c r="F273" s="42">
        <f t="shared" si="4"/>
        <v>0</v>
      </c>
    </row>
    <row r="274" spans="2:6" x14ac:dyDescent="0.3">
      <c r="B274" s="42" t="str">
        <f>IF(Setup!$B$3:$B$324&lt;&gt;"",Setup!$B$3:$B$324,"")</f>
        <v/>
      </c>
      <c r="C274" s="46" t="str">
        <f>IF(Setup!$C$3:$C$324&lt;&gt;"",Setup!$C$3:$C$324,"")</f>
        <v/>
      </c>
      <c r="D274" s="42">
        <f t="array" ref="D274">SUM(IF(B274=Setup!$B$3:$B$1022,Setup!$D$3:$D$1022))</f>
        <v>0</v>
      </c>
      <c r="E274" s="42">
        <f>SUMIF(Sales!A:A,Stock!B274,Sales!D:D)</f>
        <v>0</v>
      </c>
      <c r="F274" s="42">
        <f t="shared" si="4"/>
        <v>0</v>
      </c>
    </row>
    <row r="275" spans="2:6" x14ac:dyDescent="0.3">
      <c r="B275" s="42" t="str">
        <f>IF(Setup!$B$3:$B$324&lt;&gt;"",Setup!$B$3:$B$324,"")</f>
        <v/>
      </c>
      <c r="C275" s="46" t="str">
        <f>IF(Setup!$C$3:$C$324&lt;&gt;"",Setup!$C$3:$C$324,"")</f>
        <v/>
      </c>
      <c r="D275" s="42">
        <f t="array" ref="D275">SUM(IF(B275=Setup!$B$3:$B$1022,Setup!$D$3:$D$1022))</f>
        <v>0</v>
      </c>
      <c r="E275" s="42">
        <f>SUMIF(Sales!A:A,Stock!B275,Sales!D:D)</f>
        <v>0</v>
      </c>
      <c r="F275" s="42">
        <f t="shared" si="4"/>
        <v>0</v>
      </c>
    </row>
    <row r="276" spans="2:6" x14ac:dyDescent="0.3">
      <c r="B276" s="42" t="str">
        <f>IF(Setup!$B$3:$B$324&lt;&gt;"",Setup!$B$3:$B$324,"")</f>
        <v/>
      </c>
      <c r="C276" s="46" t="str">
        <f>IF(Setup!$C$3:$C$324&lt;&gt;"",Setup!$C$3:$C$324,"")</f>
        <v/>
      </c>
      <c r="D276" s="42">
        <f t="array" ref="D276">SUM(IF(B276=Setup!$B$3:$B$1022,Setup!$D$3:$D$1022))</f>
        <v>0</v>
      </c>
      <c r="E276" s="42">
        <f>SUMIF(Sales!A:A,Stock!B276,Sales!D:D)</f>
        <v>0</v>
      </c>
      <c r="F276" s="42">
        <f t="shared" si="4"/>
        <v>0</v>
      </c>
    </row>
    <row r="277" spans="2:6" x14ac:dyDescent="0.3">
      <c r="B277" s="42" t="str">
        <f>IF(Setup!$B$3:$B$324&lt;&gt;"",Setup!$B$3:$B$324,"")</f>
        <v/>
      </c>
      <c r="C277" s="46" t="str">
        <f>IF(Setup!$C$3:$C$324&lt;&gt;"",Setup!$C$3:$C$324,"")</f>
        <v/>
      </c>
      <c r="D277" s="42">
        <f t="array" ref="D277">SUM(IF(B277=Setup!$B$3:$B$1022,Setup!$D$3:$D$1022))</f>
        <v>0</v>
      </c>
      <c r="E277" s="42">
        <f>SUMIF(Sales!A:A,Stock!B277,Sales!D:D)</f>
        <v>0</v>
      </c>
      <c r="F277" s="42">
        <f t="shared" si="4"/>
        <v>0</v>
      </c>
    </row>
    <row r="278" spans="2:6" x14ac:dyDescent="0.3">
      <c r="B278" s="42" t="str">
        <f>IF(Setup!$B$3:$B$324&lt;&gt;"",Setup!$B$3:$B$324,"")</f>
        <v/>
      </c>
      <c r="C278" s="46" t="str">
        <f>IF(Setup!$C$3:$C$324&lt;&gt;"",Setup!$C$3:$C$324,"")</f>
        <v/>
      </c>
      <c r="D278" s="42">
        <f t="array" ref="D278">SUM(IF(B278=Setup!$B$3:$B$1022,Setup!$D$3:$D$1022))</f>
        <v>0</v>
      </c>
      <c r="E278" s="42">
        <f>SUMIF(Sales!A:A,Stock!B278,Sales!D:D)</f>
        <v>0</v>
      </c>
      <c r="F278" s="42">
        <f t="shared" si="4"/>
        <v>0</v>
      </c>
    </row>
    <row r="279" spans="2:6" x14ac:dyDescent="0.3">
      <c r="B279" s="42" t="str">
        <f>IF(Setup!$B$3:$B$324&lt;&gt;"",Setup!$B$3:$B$324,"")</f>
        <v/>
      </c>
      <c r="C279" s="46" t="str">
        <f>IF(Setup!$C$3:$C$324&lt;&gt;"",Setup!$C$3:$C$324,"")</f>
        <v/>
      </c>
      <c r="D279" s="42">
        <f t="array" ref="D279">SUM(IF(B279=Setup!$B$3:$B$1022,Setup!$D$3:$D$1022))</f>
        <v>0</v>
      </c>
      <c r="E279" s="42">
        <f>SUMIF(Sales!A:A,Stock!B279,Sales!D:D)</f>
        <v>0</v>
      </c>
      <c r="F279" s="42">
        <f t="shared" si="4"/>
        <v>0</v>
      </c>
    </row>
    <row r="280" spans="2:6" x14ac:dyDescent="0.3">
      <c r="B280" s="42" t="str">
        <f>IF(Setup!$B$3:$B$324&lt;&gt;"",Setup!$B$3:$B$324,"")</f>
        <v/>
      </c>
      <c r="C280" s="46" t="str">
        <f>IF(Setup!$C$3:$C$324&lt;&gt;"",Setup!$C$3:$C$324,"")</f>
        <v/>
      </c>
      <c r="D280" s="42">
        <f t="array" ref="D280">SUM(IF(B280=Setup!$B$3:$B$1022,Setup!$D$3:$D$1022))</f>
        <v>0</v>
      </c>
      <c r="E280" s="42">
        <f>SUMIF(Sales!A:A,Stock!B280,Sales!D:D)</f>
        <v>0</v>
      </c>
      <c r="F280" s="42">
        <f t="shared" si="4"/>
        <v>0</v>
      </c>
    </row>
    <row r="281" spans="2:6" x14ac:dyDescent="0.3">
      <c r="B281" s="42" t="str">
        <f>IF(Setup!$B$3:$B$324&lt;&gt;"",Setup!$B$3:$B$324,"")</f>
        <v/>
      </c>
      <c r="C281" s="46" t="str">
        <f>IF(Setup!$C$3:$C$324&lt;&gt;"",Setup!$C$3:$C$324,"")</f>
        <v/>
      </c>
      <c r="D281" s="42">
        <f t="array" ref="D281">SUM(IF(B281=Setup!$B$3:$B$1022,Setup!$D$3:$D$1022))</f>
        <v>0</v>
      </c>
      <c r="E281" s="42">
        <f>SUMIF(Sales!A:A,Stock!B281,Sales!D:D)</f>
        <v>0</v>
      </c>
      <c r="F281" s="42">
        <f t="shared" si="4"/>
        <v>0</v>
      </c>
    </row>
    <row r="282" spans="2:6" x14ac:dyDescent="0.3">
      <c r="B282" s="42" t="str">
        <f>IF(Setup!$B$3:$B$324&lt;&gt;"",Setup!$B$3:$B$324,"")</f>
        <v/>
      </c>
      <c r="C282" s="46" t="str">
        <f>IF(Setup!$C$3:$C$324&lt;&gt;"",Setup!$C$3:$C$324,"")</f>
        <v/>
      </c>
      <c r="D282" s="42">
        <f t="array" ref="D282">SUM(IF(B282=Setup!$B$3:$B$1022,Setup!$D$3:$D$1022))</f>
        <v>0</v>
      </c>
      <c r="E282" s="42">
        <f>SUMIF(Sales!A:A,Stock!B282,Sales!D:D)</f>
        <v>0</v>
      </c>
      <c r="F282" s="42">
        <f t="shared" si="4"/>
        <v>0</v>
      </c>
    </row>
    <row r="283" spans="2:6" x14ac:dyDescent="0.3">
      <c r="B283" s="42" t="str">
        <f>IF(Setup!$B$3:$B$324&lt;&gt;"",Setup!$B$3:$B$324,"")</f>
        <v/>
      </c>
      <c r="C283" s="46" t="str">
        <f>IF(Setup!$C$3:$C$324&lt;&gt;"",Setup!$C$3:$C$324,"")</f>
        <v/>
      </c>
      <c r="D283" s="42">
        <f t="array" ref="D283">SUM(IF(B283=Setup!$B$3:$B$1022,Setup!$D$3:$D$1022))</f>
        <v>0</v>
      </c>
      <c r="E283" s="42">
        <f>SUMIF(Sales!A:A,Stock!B283,Sales!D:D)</f>
        <v>0</v>
      </c>
      <c r="F283" s="42">
        <f t="shared" si="4"/>
        <v>0</v>
      </c>
    </row>
    <row r="284" spans="2:6" x14ac:dyDescent="0.3">
      <c r="B284" s="42" t="str">
        <f>IF(Setup!$B$3:$B$324&lt;&gt;"",Setup!$B$3:$B$324,"")</f>
        <v/>
      </c>
      <c r="C284" s="46" t="str">
        <f>IF(Setup!$C$3:$C$324&lt;&gt;"",Setup!$C$3:$C$324,"")</f>
        <v/>
      </c>
      <c r="D284" s="42">
        <f t="array" ref="D284">SUM(IF(B284=Setup!$B$3:$B$1022,Setup!$D$3:$D$1022))</f>
        <v>0</v>
      </c>
      <c r="E284" s="42">
        <f>SUMIF(Sales!A:A,Stock!B284,Sales!D:D)</f>
        <v>0</v>
      </c>
      <c r="F284" s="42">
        <f t="shared" si="4"/>
        <v>0</v>
      </c>
    </row>
    <row r="285" spans="2:6" x14ac:dyDescent="0.3">
      <c r="B285" s="42" t="str">
        <f>IF(Setup!$B$3:$B$324&lt;&gt;"",Setup!$B$3:$B$324,"")</f>
        <v/>
      </c>
      <c r="C285" s="46" t="str">
        <f>IF(Setup!$C$3:$C$324&lt;&gt;"",Setup!$C$3:$C$324,"")</f>
        <v/>
      </c>
      <c r="D285" s="42">
        <f t="array" ref="D285">SUM(IF(B285=Setup!$B$3:$B$1022,Setup!$D$3:$D$1022))</f>
        <v>0</v>
      </c>
      <c r="E285" s="42">
        <f>SUMIF(Sales!A:A,Stock!B285,Sales!D:D)</f>
        <v>0</v>
      </c>
      <c r="F285" s="42">
        <f t="shared" si="4"/>
        <v>0</v>
      </c>
    </row>
    <row r="286" spans="2:6" x14ac:dyDescent="0.3">
      <c r="B286" s="42" t="str">
        <f>IF(Setup!$B$3:$B$324&lt;&gt;"",Setup!$B$3:$B$324,"")</f>
        <v/>
      </c>
      <c r="C286" s="46" t="str">
        <f>IF(Setup!$C$3:$C$324&lt;&gt;"",Setup!$C$3:$C$324,"")</f>
        <v/>
      </c>
      <c r="D286" s="42">
        <f t="array" ref="D286">SUM(IF(B286=Setup!$B$3:$B$1022,Setup!$D$3:$D$1022))</f>
        <v>0</v>
      </c>
      <c r="E286" s="42">
        <f>SUMIF(Sales!A:A,Stock!B286,Sales!D:D)</f>
        <v>0</v>
      </c>
      <c r="F286" s="42">
        <f t="shared" si="4"/>
        <v>0</v>
      </c>
    </row>
    <row r="287" spans="2:6" x14ac:dyDescent="0.3">
      <c r="B287" s="42" t="str">
        <f>IF(Setup!$B$3:$B$324&lt;&gt;"",Setup!$B$3:$B$324,"")</f>
        <v/>
      </c>
      <c r="C287" s="46" t="str">
        <f>IF(Setup!$C$3:$C$324&lt;&gt;"",Setup!$C$3:$C$324,"")</f>
        <v/>
      </c>
      <c r="D287" s="42">
        <f t="array" ref="D287">SUM(IF(B287=Setup!$B$3:$B$1022,Setup!$D$3:$D$1022))</f>
        <v>0</v>
      </c>
      <c r="E287" s="42">
        <f>SUMIF(Sales!A:A,Stock!B287,Sales!D:D)</f>
        <v>0</v>
      </c>
      <c r="F287" s="42">
        <f t="shared" si="4"/>
        <v>0</v>
      </c>
    </row>
    <row r="288" spans="2:6" x14ac:dyDescent="0.3">
      <c r="B288" s="42" t="str">
        <f>IF(Setup!$B$3:$B$324&lt;&gt;"",Setup!$B$3:$B$324,"")</f>
        <v/>
      </c>
      <c r="C288" s="46" t="str">
        <f>IF(Setup!$C$3:$C$324&lt;&gt;"",Setup!$C$3:$C$324,"")</f>
        <v/>
      </c>
      <c r="D288" s="42">
        <f t="array" ref="D288">SUM(IF(B288=Setup!$B$3:$B$1022,Setup!$D$3:$D$1022))</f>
        <v>0</v>
      </c>
      <c r="E288" s="42">
        <f>SUMIF(Sales!A:A,Stock!B288,Sales!D:D)</f>
        <v>0</v>
      </c>
      <c r="F288" s="42">
        <f t="shared" si="4"/>
        <v>0</v>
      </c>
    </row>
    <row r="289" spans="2:6" x14ac:dyDescent="0.3">
      <c r="B289" s="42" t="str">
        <f>IF(Setup!$B$3:$B$324&lt;&gt;"",Setup!$B$3:$B$324,"")</f>
        <v/>
      </c>
      <c r="C289" s="46" t="str">
        <f>IF(Setup!$C$3:$C$324&lt;&gt;"",Setup!$C$3:$C$324,"")</f>
        <v/>
      </c>
      <c r="D289" s="42">
        <f t="array" ref="D289">SUM(IF(B289=Setup!$B$3:$B$1022,Setup!$D$3:$D$1022))</f>
        <v>0</v>
      </c>
      <c r="E289" s="42">
        <f>SUMIF(Sales!A:A,Stock!B289,Sales!D:D)</f>
        <v>0</v>
      </c>
      <c r="F289" s="42">
        <f t="shared" si="4"/>
        <v>0</v>
      </c>
    </row>
    <row r="290" spans="2:6" x14ac:dyDescent="0.3">
      <c r="B290" s="42" t="str">
        <f>IF(Setup!$B$3:$B$324&lt;&gt;"",Setup!$B$3:$B$324,"")</f>
        <v/>
      </c>
      <c r="C290" s="46" t="str">
        <f>IF(Setup!$C$3:$C$324&lt;&gt;"",Setup!$C$3:$C$324,"")</f>
        <v/>
      </c>
      <c r="D290" s="42">
        <f t="array" ref="D290">SUM(IF(B290=Setup!$B$3:$B$1022,Setup!$D$3:$D$1022))</f>
        <v>0</v>
      </c>
      <c r="E290" s="42">
        <f>SUMIF(Sales!A:A,Stock!B290,Sales!D:D)</f>
        <v>0</v>
      </c>
      <c r="F290" s="42">
        <f t="shared" si="4"/>
        <v>0</v>
      </c>
    </row>
    <row r="291" spans="2:6" x14ac:dyDescent="0.3">
      <c r="B291" s="42" t="str">
        <f>IF(Setup!$B$3:$B$324&lt;&gt;"",Setup!$B$3:$B$324,"")</f>
        <v/>
      </c>
      <c r="C291" s="46" t="str">
        <f>IF(Setup!$C$3:$C$324&lt;&gt;"",Setup!$C$3:$C$324,"")</f>
        <v/>
      </c>
      <c r="D291" s="42">
        <f t="array" ref="D291">SUM(IF(B291=Setup!$B$3:$B$1022,Setup!$D$3:$D$1022))</f>
        <v>0</v>
      </c>
      <c r="E291" s="42">
        <f>SUMIF(Sales!A:A,Stock!B291,Sales!D:D)</f>
        <v>0</v>
      </c>
      <c r="F291" s="42">
        <f t="shared" si="4"/>
        <v>0</v>
      </c>
    </row>
    <row r="292" spans="2:6" x14ac:dyDescent="0.3">
      <c r="B292" s="42" t="str">
        <f>IF(Setup!$B$3:$B$324&lt;&gt;"",Setup!$B$3:$B$324,"")</f>
        <v/>
      </c>
      <c r="C292" s="46" t="str">
        <f>IF(Setup!$C$3:$C$324&lt;&gt;"",Setup!$C$3:$C$324,"")</f>
        <v/>
      </c>
      <c r="D292" s="42">
        <f t="array" ref="D292">SUM(IF(B292=Setup!$B$3:$B$1022,Setup!$D$3:$D$1022))</f>
        <v>0</v>
      </c>
      <c r="E292" s="42">
        <f>SUMIF(Sales!A:A,Stock!B292,Sales!D:D)</f>
        <v>0</v>
      </c>
      <c r="F292" s="42">
        <f t="shared" si="4"/>
        <v>0</v>
      </c>
    </row>
    <row r="293" spans="2:6" x14ac:dyDescent="0.3">
      <c r="B293" s="42" t="str">
        <f>IF(Setup!$B$3:$B$324&lt;&gt;"",Setup!$B$3:$B$324,"")</f>
        <v/>
      </c>
      <c r="C293" s="46" t="str">
        <f>IF(Setup!$C$3:$C$324&lt;&gt;"",Setup!$C$3:$C$324,"")</f>
        <v/>
      </c>
      <c r="D293" s="42">
        <f t="array" ref="D293">SUM(IF(B293=Setup!$B$3:$B$1022,Setup!$D$3:$D$1022))</f>
        <v>0</v>
      </c>
      <c r="E293" s="42">
        <f>SUMIF(Sales!A:A,Stock!B293,Sales!D:D)</f>
        <v>0</v>
      </c>
      <c r="F293" s="42">
        <f t="shared" si="4"/>
        <v>0</v>
      </c>
    </row>
    <row r="294" spans="2:6" x14ac:dyDescent="0.3">
      <c r="B294" s="42" t="str">
        <f>IF(Setup!$B$3:$B$324&lt;&gt;"",Setup!$B$3:$B$324,"")</f>
        <v/>
      </c>
      <c r="C294" s="46" t="str">
        <f>IF(Setup!$C$3:$C$324&lt;&gt;"",Setup!$C$3:$C$324,"")</f>
        <v/>
      </c>
      <c r="D294" s="42">
        <f t="array" ref="D294">SUM(IF(B294=Setup!$B$3:$B$1022,Setup!$D$3:$D$1022))</f>
        <v>0</v>
      </c>
      <c r="E294" s="42">
        <f>SUMIF(Sales!A:A,Stock!B294,Sales!D:D)</f>
        <v>0</v>
      </c>
      <c r="F294" s="42">
        <f t="shared" si="4"/>
        <v>0</v>
      </c>
    </row>
    <row r="295" spans="2:6" x14ac:dyDescent="0.3">
      <c r="B295" s="42" t="str">
        <f>IF(Setup!$B$3:$B$324&lt;&gt;"",Setup!$B$3:$B$324,"")</f>
        <v/>
      </c>
      <c r="C295" s="46" t="str">
        <f>IF(Setup!$C$3:$C$324&lt;&gt;"",Setup!$C$3:$C$324,"")</f>
        <v/>
      </c>
      <c r="D295" s="42">
        <f t="array" ref="D295">SUM(IF(B295=Setup!$B$3:$B$1022,Setup!$D$3:$D$1022))</f>
        <v>0</v>
      </c>
      <c r="E295" s="42">
        <f>SUMIF(Sales!A:A,Stock!B295,Sales!D:D)</f>
        <v>0</v>
      </c>
      <c r="F295" s="42">
        <f t="shared" si="4"/>
        <v>0</v>
      </c>
    </row>
    <row r="296" spans="2:6" x14ac:dyDescent="0.3">
      <c r="B296" s="42" t="str">
        <f>IF(Setup!$B$3:$B$324&lt;&gt;"",Setup!$B$3:$B$324,"")</f>
        <v/>
      </c>
      <c r="C296" s="46" t="str">
        <f>IF(Setup!$C$3:$C$324&lt;&gt;"",Setup!$C$3:$C$324,"")</f>
        <v/>
      </c>
      <c r="D296" s="42">
        <f t="array" ref="D296">SUM(IF(B296=Setup!$B$3:$B$1022,Setup!$D$3:$D$1022))</f>
        <v>0</v>
      </c>
      <c r="E296" s="42">
        <f>SUMIF(Sales!A:A,Stock!B296,Sales!D:D)</f>
        <v>0</v>
      </c>
      <c r="F296" s="42">
        <f t="shared" si="4"/>
        <v>0</v>
      </c>
    </row>
    <row r="297" spans="2:6" x14ac:dyDescent="0.3">
      <c r="B297" s="42" t="str">
        <f>IF(Setup!$B$3:$B$324&lt;&gt;"",Setup!$B$3:$B$324,"")</f>
        <v/>
      </c>
      <c r="C297" s="46" t="str">
        <f>IF(Setup!$C$3:$C$324&lt;&gt;"",Setup!$C$3:$C$324,"")</f>
        <v/>
      </c>
      <c r="D297" s="42">
        <f t="array" ref="D297">SUM(IF(B297=Setup!$B$3:$B$1022,Setup!$D$3:$D$1022))</f>
        <v>0</v>
      </c>
      <c r="E297" s="42">
        <f>SUMIF(Sales!A:A,Stock!B297,Sales!D:D)</f>
        <v>0</v>
      </c>
      <c r="F297" s="42">
        <f t="shared" si="4"/>
        <v>0</v>
      </c>
    </row>
    <row r="298" spans="2:6" x14ac:dyDescent="0.3">
      <c r="B298" s="42" t="str">
        <f>IF(Setup!$B$3:$B$324&lt;&gt;"",Setup!$B$3:$B$324,"")</f>
        <v/>
      </c>
      <c r="C298" s="46" t="str">
        <f>IF(Setup!$C$3:$C$324&lt;&gt;"",Setup!$C$3:$C$324,"")</f>
        <v/>
      </c>
      <c r="D298" s="42">
        <f t="array" ref="D298">SUM(IF(B298=Setup!$B$3:$B$1022,Setup!$D$3:$D$1022))</f>
        <v>0</v>
      </c>
      <c r="E298" s="42">
        <f>SUMIF(Sales!A:A,Stock!B298,Sales!D:D)</f>
        <v>0</v>
      </c>
      <c r="F298" s="42">
        <f t="shared" si="4"/>
        <v>0</v>
      </c>
    </row>
    <row r="299" spans="2:6" x14ac:dyDescent="0.3">
      <c r="B299" s="42" t="str">
        <f>IF(Setup!$B$3:$B$324&lt;&gt;"",Setup!$B$3:$B$324,"")</f>
        <v/>
      </c>
      <c r="C299" s="46" t="str">
        <f>IF(Setup!$C$3:$C$324&lt;&gt;"",Setup!$C$3:$C$324,"")</f>
        <v/>
      </c>
      <c r="D299" s="42">
        <f t="array" ref="D299">SUM(IF(B299=Setup!$B$3:$B$1022,Setup!$D$3:$D$1022))</f>
        <v>0</v>
      </c>
      <c r="E299" s="42">
        <f>SUMIF(Sales!A:A,Stock!B299,Sales!D:D)</f>
        <v>0</v>
      </c>
      <c r="F299" s="42">
        <f t="shared" si="4"/>
        <v>0</v>
      </c>
    </row>
    <row r="300" spans="2:6" x14ac:dyDescent="0.3">
      <c r="B300" s="42" t="str">
        <f>IF(Setup!$B$3:$B$324&lt;&gt;"",Setup!$B$3:$B$324,"")</f>
        <v/>
      </c>
      <c r="C300" s="46" t="str">
        <f>IF(Setup!$C$3:$C$324&lt;&gt;"",Setup!$C$3:$C$324,"")</f>
        <v/>
      </c>
      <c r="D300" s="42">
        <f t="array" ref="D300">SUM(IF(B300=Setup!$B$3:$B$1022,Setup!$D$3:$D$1022))</f>
        <v>0</v>
      </c>
      <c r="E300" s="42">
        <f>SUMIF(Sales!A:A,Stock!B300,Sales!D:D)</f>
        <v>0</v>
      </c>
      <c r="F300" s="42">
        <f t="shared" si="4"/>
        <v>0</v>
      </c>
    </row>
    <row r="301" spans="2:6" x14ac:dyDescent="0.3">
      <c r="B301" s="42" t="str">
        <f>IF(Setup!$B$3:$B$324&lt;&gt;"",Setup!$B$3:$B$324,"")</f>
        <v/>
      </c>
      <c r="C301" s="46" t="str">
        <f>IF(Setup!$C$3:$C$324&lt;&gt;"",Setup!$C$3:$C$324,"")</f>
        <v/>
      </c>
      <c r="D301" s="42">
        <f t="array" ref="D301">SUM(IF(B301=Setup!$B$3:$B$1022,Setup!$D$3:$D$1022))</f>
        <v>0</v>
      </c>
      <c r="E301" s="42">
        <f>SUMIF(Sales!A:A,Stock!B301,Sales!D:D)</f>
        <v>0</v>
      </c>
      <c r="F301" s="42">
        <f t="shared" si="4"/>
        <v>0</v>
      </c>
    </row>
    <row r="302" spans="2:6" x14ac:dyDescent="0.3">
      <c r="B302" s="42" t="str">
        <f>IF(Setup!$B$3:$B$324&lt;&gt;"",Setup!$B$3:$B$324,"")</f>
        <v/>
      </c>
      <c r="C302" s="46" t="str">
        <f>IF(Setup!$C$3:$C$324&lt;&gt;"",Setup!$C$3:$C$324,"")</f>
        <v/>
      </c>
      <c r="D302" s="42">
        <f t="array" ref="D302">SUM(IF(B302=Setup!$B$3:$B$1022,Setup!$D$3:$D$1022))</f>
        <v>0</v>
      </c>
      <c r="E302" s="42">
        <f>SUMIF(Sales!A:A,Stock!B302,Sales!D:D)</f>
        <v>0</v>
      </c>
      <c r="F302" s="42">
        <f t="shared" si="4"/>
        <v>0</v>
      </c>
    </row>
    <row r="303" spans="2:6" x14ac:dyDescent="0.3">
      <c r="B303" s="42" t="str">
        <f>IF(Setup!$B$3:$B$324&lt;&gt;"",Setup!$B$3:$B$324,"")</f>
        <v/>
      </c>
      <c r="C303" s="46" t="str">
        <f>IF(Setup!$C$3:$C$324&lt;&gt;"",Setup!$C$3:$C$324,"")</f>
        <v/>
      </c>
      <c r="D303" s="42">
        <f t="array" ref="D303">SUM(IF(B303=Setup!$B$3:$B$1022,Setup!$D$3:$D$1022))</f>
        <v>0</v>
      </c>
      <c r="E303" s="42">
        <f>SUMIF(Sales!A:A,Stock!B303,Sales!D:D)</f>
        <v>0</v>
      </c>
      <c r="F303" s="42">
        <f t="shared" si="4"/>
        <v>0</v>
      </c>
    </row>
    <row r="304" spans="2:6" x14ac:dyDescent="0.3">
      <c r="B304" s="42" t="str">
        <f>IF(Setup!$B$3:$B$324&lt;&gt;"",Setup!$B$3:$B$324,"")</f>
        <v/>
      </c>
      <c r="C304" s="46" t="str">
        <f>IF(Setup!$C$3:$C$324&lt;&gt;"",Setup!$C$3:$C$324,"")</f>
        <v/>
      </c>
      <c r="D304" s="42">
        <f t="array" ref="D304">SUM(IF(B304=Setup!$B$3:$B$1022,Setup!$D$3:$D$1022))</f>
        <v>0</v>
      </c>
      <c r="E304" s="42">
        <f>SUMIF(Sales!A:A,Stock!B304,Sales!D:D)</f>
        <v>0</v>
      </c>
      <c r="F304" s="42">
        <f t="shared" si="4"/>
        <v>0</v>
      </c>
    </row>
    <row r="305" spans="2:6" x14ac:dyDescent="0.3">
      <c r="B305" s="42" t="str">
        <f>IF(Setup!$B$3:$B$324&lt;&gt;"",Setup!$B$3:$B$324,"")</f>
        <v/>
      </c>
      <c r="C305" s="46" t="str">
        <f>IF(Setup!$C$3:$C$324&lt;&gt;"",Setup!$C$3:$C$324,"")</f>
        <v/>
      </c>
      <c r="D305" s="42">
        <f t="array" ref="D305">SUM(IF(B305=Setup!$B$3:$B$1022,Setup!$D$3:$D$1022))</f>
        <v>0</v>
      </c>
      <c r="E305" s="42">
        <f>SUMIF(Sales!A:A,Stock!B305,Sales!D:D)</f>
        <v>0</v>
      </c>
      <c r="F305" s="42">
        <f t="shared" si="4"/>
        <v>0</v>
      </c>
    </row>
    <row r="306" spans="2:6" x14ac:dyDescent="0.3">
      <c r="B306" s="42" t="str">
        <f>IF(Setup!$B$3:$B$324&lt;&gt;"",Setup!$B$3:$B$324,"")</f>
        <v/>
      </c>
      <c r="C306" s="46" t="str">
        <f>IF(Setup!$C$3:$C$324&lt;&gt;"",Setup!$C$3:$C$324,"")</f>
        <v/>
      </c>
      <c r="D306" s="42">
        <f t="array" ref="D306">SUM(IF(B306=Setup!$B$3:$B$1022,Setup!$D$3:$D$1022))</f>
        <v>0</v>
      </c>
      <c r="E306" s="42">
        <f>SUMIF(Sales!A:A,Stock!B306,Sales!D:D)</f>
        <v>0</v>
      </c>
      <c r="F306" s="42">
        <f t="shared" si="4"/>
        <v>0</v>
      </c>
    </row>
    <row r="307" spans="2:6" x14ac:dyDescent="0.3">
      <c r="B307" s="42" t="str">
        <f>IF(Setup!$B$3:$B$324&lt;&gt;"",Setup!$B$3:$B$324,"")</f>
        <v/>
      </c>
      <c r="C307" s="46" t="str">
        <f>IF(Setup!$C$3:$C$324&lt;&gt;"",Setup!$C$3:$C$324,"")</f>
        <v/>
      </c>
      <c r="D307" s="42">
        <f t="array" ref="D307">SUM(IF(B307=Setup!$B$3:$B$1022,Setup!$D$3:$D$1022))</f>
        <v>0</v>
      </c>
      <c r="E307" s="42">
        <f>SUMIF(Sales!A:A,Stock!B307,Sales!D:D)</f>
        <v>0</v>
      </c>
      <c r="F307" s="42">
        <f t="shared" si="4"/>
        <v>0</v>
      </c>
    </row>
    <row r="308" spans="2:6" x14ac:dyDescent="0.3">
      <c r="B308" s="42" t="str">
        <f>IF(Setup!$B$3:$B$324&lt;&gt;"",Setup!$B$3:$B$324,"")</f>
        <v/>
      </c>
      <c r="C308" s="46" t="str">
        <f>IF(Setup!$C$3:$C$324&lt;&gt;"",Setup!$C$3:$C$324,"")</f>
        <v/>
      </c>
      <c r="D308" s="42">
        <f t="array" ref="D308">SUM(IF(B308=Setup!$B$3:$B$1022,Setup!$D$3:$D$1022))</f>
        <v>0</v>
      </c>
      <c r="E308" s="42">
        <f>SUMIF(Sales!A:A,Stock!B308,Sales!D:D)</f>
        <v>0</v>
      </c>
      <c r="F308" s="42">
        <f t="shared" si="4"/>
        <v>0</v>
      </c>
    </row>
    <row r="309" spans="2:6" x14ac:dyDescent="0.3">
      <c r="B309" s="42" t="str">
        <f>IF(Setup!$B$3:$B$324&lt;&gt;"",Setup!$B$3:$B$324,"")</f>
        <v/>
      </c>
      <c r="C309" s="46" t="str">
        <f>IF(Setup!$C$3:$C$324&lt;&gt;"",Setup!$C$3:$C$324,"")</f>
        <v/>
      </c>
      <c r="D309" s="42">
        <f t="array" ref="D309">SUM(IF(B309=Setup!$B$3:$B$1022,Setup!$D$3:$D$1022))</f>
        <v>0</v>
      </c>
      <c r="E309" s="42">
        <f>SUMIF(Sales!A:A,Stock!B309,Sales!D:D)</f>
        <v>0</v>
      </c>
      <c r="F309" s="42">
        <f t="shared" si="4"/>
        <v>0</v>
      </c>
    </row>
    <row r="310" spans="2:6" x14ac:dyDescent="0.3">
      <c r="B310" s="42" t="str">
        <f>IF(Setup!$B$3:$B$324&lt;&gt;"",Setup!$B$3:$B$324,"")</f>
        <v/>
      </c>
      <c r="C310" s="46" t="str">
        <f>IF(Setup!$C$3:$C$324&lt;&gt;"",Setup!$C$3:$C$324,"")</f>
        <v/>
      </c>
      <c r="D310" s="42">
        <f t="array" ref="D310">SUM(IF(B310=Setup!$B$3:$B$1022,Setup!$D$3:$D$1022))</f>
        <v>0</v>
      </c>
      <c r="E310" s="42">
        <f>SUMIF(Sales!A:A,Stock!B310,Sales!D:D)</f>
        <v>0</v>
      </c>
      <c r="F310" s="42">
        <f t="shared" si="4"/>
        <v>0</v>
      </c>
    </row>
    <row r="311" spans="2:6" x14ac:dyDescent="0.3">
      <c r="B311" s="42" t="str">
        <f>IF(Setup!$B$3:$B$324&lt;&gt;"",Setup!$B$3:$B$324,"")</f>
        <v/>
      </c>
      <c r="C311" s="46" t="str">
        <f>IF(Setup!$C$3:$C$324&lt;&gt;"",Setup!$C$3:$C$324,"")</f>
        <v/>
      </c>
      <c r="D311" s="42">
        <f t="array" ref="D311">SUM(IF(B311=Setup!$B$3:$B$1022,Setup!$D$3:$D$1022))</f>
        <v>0</v>
      </c>
      <c r="E311" s="42">
        <f>SUMIF(Sales!A:A,Stock!B311,Sales!D:D)</f>
        <v>0</v>
      </c>
      <c r="F311" s="42">
        <f t="shared" si="4"/>
        <v>0</v>
      </c>
    </row>
    <row r="312" spans="2:6" x14ac:dyDescent="0.3">
      <c r="B312" s="42" t="str">
        <f>IF(Setup!$B$3:$B$324&lt;&gt;"",Setup!$B$3:$B$324,"")</f>
        <v/>
      </c>
      <c r="C312" s="46" t="str">
        <f>IF(Setup!$C$3:$C$324&lt;&gt;"",Setup!$C$3:$C$324,"")</f>
        <v/>
      </c>
      <c r="D312" s="42">
        <f t="array" ref="D312">SUM(IF(B312=Setup!$B$3:$B$1022,Setup!$D$3:$D$1022))</f>
        <v>0</v>
      </c>
      <c r="E312" s="42">
        <f>SUMIF(Sales!A:A,Stock!B312,Sales!D:D)</f>
        <v>0</v>
      </c>
      <c r="F312" s="42">
        <f t="shared" si="4"/>
        <v>0</v>
      </c>
    </row>
    <row r="313" spans="2:6" x14ac:dyDescent="0.3">
      <c r="B313" s="42" t="str">
        <f>IF(Setup!$B$3:$B$324&lt;&gt;"",Setup!$B$3:$B$324,"")</f>
        <v/>
      </c>
      <c r="C313" s="46" t="str">
        <f>IF(Setup!$C$3:$C$324&lt;&gt;"",Setup!$C$3:$C$324,"")</f>
        <v/>
      </c>
      <c r="D313" s="42">
        <f t="array" ref="D313">SUM(IF(B313=Setup!$B$3:$B$1022,Setup!$D$3:$D$1022))</f>
        <v>0</v>
      </c>
      <c r="E313" s="42">
        <f>SUMIF(Sales!A:A,Stock!B313,Sales!D:D)</f>
        <v>0</v>
      </c>
      <c r="F313" s="42">
        <f t="shared" si="4"/>
        <v>0</v>
      </c>
    </row>
    <row r="314" spans="2:6" x14ac:dyDescent="0.3">
      <c r="B314" s="42" t="str">
        <f>IF(Setup!$B$3:$B$324&lt;&gt;"",Setup!$B$3:$B$324,"")</f>
        <v/>
      </c>
      <c r="C314" s="46" t="str">
        <f>IF(Setup!$C$3:$C$324&lt;&gt;"",Setup!$C$3:$C$324,"")</f>
        <v/>
      </c>
      <c r="D314" s="42">
        <f t="array" ref="D314">SUM(IF(B314=Setup!$B$3:$B$1022,Setup!$D$3:$D$1022))</f>
        <v>0</v>
      </c>
      <c r="E314" s="42">
        <f>SUMIF(Sales!A:A,Stock!B314,Sales!D:D)</f>
        <v>0</v>
      </c>
      <c r="F314" s="42">
        <f t="shared" si="4"/>
        <v>0</v>
      </c>
    </row>
    <row r="315" spans="2:6" x14ac:dyDescent="0.3">
      <c r="B315" s="42" t="str">
        <f>IF(Setup!$B$3:$B$324&lt;&gt;"",Setup!$B$3:$B$324,"")</f>
        <v/>
      </c>
      <c r="C315" s="46" t="str">
        <f>IF(Setup!$C$3:$C$324&lt;&gt;"",Setup!$C$3:$C$324,"")</f>
        <v/>
      </c>
      <c r="D315" s="42">
        <f t="array" ref="D315">SUM(IF(B315=Setup!$B$3:$B$1022,Setup!$D$3:$D$1022))</f>
        <v>0</v>
      </c>
      <c r="E315" s="42">
        <f>SUMIF(Sales!A:A,Stock!B315,Sales!D:D)</f>
        <v>0</v>
      </c>
      <c r="F315" s="42">
        <f t="shared" si="4"/>
        <v>0</v>
      </c>
    </row>
    <row r="316" spans="2:6" x14ac:dyDescent="0.3">
      <c r="B316" s="42" t="str">
        <f>IF(Setup!$B$3:$B$324&lt;&gt;"",Setup!$B$3:$B$324,"")</f>
        <v/>
      </c>
      <c r="C316" s="46" t="str">
        <f>IF(Setup!$C$3:$C$324&lt;&gt;"",Setup!$C$3:$C$324,"")</f>
        <v/>
      </c>
      <c r="D316" s="42">
        <f t="array" ref="D316">SUM(IF(B316=Setup!$B$3:$B$1022,Setup!$D$3:$D$1022))</f>
        <v>0</v>
      </c>
      <c r="E316" s="42">
        <f>SUMIF(Sales!A:A,Stock!B316,Sales!D:D)</f>
        <v>0</v>
      </c>
      <c r="F316" s="42">
        <f t="shared" si="4"/>
        <v>0</v>
      </c>
    </row>
    <row r="317" spans="2:6" x14ac:dyDescent="0.3">
      <c r="B317" s="42" t="str">
        <f>IF(Setup!$B$3:$B$324&lt;&gt;"",Setup!$B$3:$B$324,"")</f>
        <v/>
      </c>
      <c r="C317" s="46" t="str">
        <f>IF(Setup!$C$3:$C$324&lt;&gt;"",Setup!$C$3:$C$324,"")</f>
        <v/>
      </c>
      <c r="D317" s="42">
        <f t="array" ref="D317">SUM(IF(B317=Setup!$B$3:$B$1022,Setup!$D$3:$D$1022))</f>
        <v>0</v>
      </c>
      <c r="E317" s="42">
        <f>SUMIF(Sales!A:A,Stock!B317,Sales!D:D)</f>
        <v>0</v>
      </c>
      <c r="F317" s="42">
        <f t="shared" si="4"/>
        <v>0</v>
      </c>
    </row>
    <row r="318" spans="2:6" x14ac:dyDescent="0.3">
      <c r="B318" s="42" t="str">
        <f>IF(Setup!$B$3:$B$324&lt;&gt;"",Setup!$B$3:$B$324,"")</f>
        <v/>
      </c>
      <c r="C318" s="46" t="str">
        <f>IF(Setup!$C$3:$C$324&lt;&gt;"",Setup!$C$3:$C$324,"")</f>
        <v/>
      </c>
      <c r="D318" s="42">
        <f t="array" ref="D318">SUM(IF(B318=Setup!$B$3:$B$1022,Setup!$D$3:$D$1022))</f>
        <v>0</v>
      </c>
      <c r="E318" s="42">
        <f>SUMIF(Sales!A:A,Stock!B318,Sales!D:D)</f>
        <v>0</v>
      </c>
      <c r="F318" s="42">
        <f t="shared" si="4"/>
        <v>0</v>
      </c>
    </row>
    <row r="319" spans="2:6" x14ac:dyDescent="0.3">
      <c r="B319" s="42" t="str">
        <f>IF(Setup!$B$3:$B$324&lt;&gt;"",Setup!$B$3:$B$324,"")</f>
        <v/>
      </c>
      <c r="C319" s="46" t="str">
        <f>IF(Setup!$C$3:$C$324&lt;&gt;"",Setup!$C$3:$C$324,"")</f>
        <v/>
      </c>
      <c r="D319" s="42">
        <f t="array" ref="D319">SUM(IF(B319=Setup!$B$3:$B$1022,Setup!$D$3:$D$1022))</f>
        <v>0</v>
      </c>
      <c r="E319" s="42">
        <f>SUMIF(Sales!A:A,Stock!B319,Sales!D:D)</f>
        <v>0</v>
      </c>
      <c r="F319" s="42">
        <f t="shared" si="4"/>
        <v>0</v>
      </c>
    </row>
    <row r="320" spans="2:6" x14ac:dyDescent="0.3">
      <c r="B320" s="42" t="str">
        <f>IF(Setup!$B$3:$B$324&lt;&gt;"",Setup!$B$3:$B$324,"")</f>
        <v/>
      </c>
      <c r="C320" s="46" t="str">
        <f>IF(Setup!$C$3:$C$324&lt;&gt;"",Setup!$C$3:$C$324,"")</f>
        <v/>
      </c>
      <c r="D320" s="42">
        <f t="array" ref="D320">SUM(IF(B320=Setup!$B$3:$B$1022,Setup!$D$3:$D$1022))</f>
        <v>0</v>
      </c>
      <c r="E320" s="42">
        <f>SUMIF(Sales!A:A,Stock!B320,Sales!D:D)</f>
        <v>0</v>
      </c>
      <c r="F320" s="42">
        <f t="shared" si="4"/>
        <v>0</v>
      </c>
    </row>
    <row r="321" spans="2:6" x14ac:dyDescent="0.3">
      <c r="B321" s="42" t="str">
        <f>IF(Setup!$B$3:$B$324&lt;&gt;"",Setup!$B$3:$B$324,"")</f>
        <v/>
      </c>
      <c r="C321" s="46" t="str">
        <f>IF(Setup!$C$3:$C$324&lt;&gt;"",Setup!$C$3:$C$324,"")</f>
        <v/>
      </c>
      <c r="D321" s="42">
        <f t="array" ref="D321">SUM(IF(B321=Setup!$B$3:$B$1022,Setup!$D$3:$D$1022))</f>
        <v>0</v>
      </c>
      <c r="E321" s="42">
        <f>SUMIF(Sales!A:A,Stock!B321,Sales!D:D)</f>
        <v>0</v>
      </c>
      <c r="F321" s="42">
        <f t="shared" si="4"/>
        <v>0</v>
      </c>
    </row>
    <row r="322" spans="2:6" x14ac:dyDescent="0.3">
      <c r="B322" s="42" t="str">
        <f>IF(Setup!$B$3:$B$324&lt;&gt;"",Setup!$B$3:$B$324,"")</f>
        <v/>
      </c>
      <c r="C322" s="46" t="str">
        <f>IF(Setup!$C$3:$C$324&lt;&gt;"",Setup!$C$3:$C$324,"")</f>
        <v/>
      </c>
      <c r="D322" s="42">
        <f t="array" ref="D322">SUM(IF(B322=Setup!$B$3:$B$1022,Setup!$D$3:$D$1022))</f>
        <v>0</v>
      </c>
      <c r="E322" s="42">
        <f>SUMIF(Sales!A:A,Stock!B322,Sales!D:D)</f>
        <v>0</v>
      </c>
      <c r="F322" s="42">
        <f t="shared" si="4"/>
        <v>0</v>
      </c>
    </row>
    <row r="323" spans="2:6" x14ac:dyDescent="0.3">
      <c r="B323" s="42" t="str">
        <f>IF(Setup!$B$3:$B$324&lt;&gt;"",Setup!$B$3:$B$324,"")</f>
        <v/>
      </c>
      <c r="C323" s="46" t="str">
        <f>IF(Setup!$C$3:$C$324&lt;&gt;"",Setup!$C$3:$C$324,"")</f>
        <v/>
      </c>
      <c r="D323" s="42">
        <f t="array" ref="D323">SUM(IF(B323=Setup!$B$3:$B$1022,Setup!$D$3:$D$1022))</f>
        <v>0</v>
      </c>
      <c r="E323" s="42">
        <f>SUMIF(Sales!A:A,Stock!B323,Sales!D:D)</f>
        <v>0</v>
      </c>
      <c r="F323" s="42">
        <f t="shared" ref="F323:F386" si="5">+D323-E323</f>
        <v>0</v>
      </c>
    </row>
    <row r="324" spans="2:6" x14ac:dyDescent="0.3">
      <c r="B324" s="42" t="str">
        <f>IF(Setup!$B$3:$B$324&lt;&gt;"",Setup!$B$3:$B$324,"")</f>
        <v/>
      </c>
      <c r="C324" s="46" t="str">
        <f>IF(Setup!$C$3:$C$324&lt;&gt;"",Setup!$C$3:$C$324,"")</f>
        <v/>
      </c>
      <c r="D324" s="42">
        <f t="array" ref="D324">SUM(IF(B324=Setup!$B$3:$B$1022,Setup!$D$3:$D$1022))</f>
        <v>0</v>
      </c>
      <c r="E324" s="42">
        <f>SUMIF(Sales!A:A,Stock!B324,Sales!D:D)</f>
        <v>0</v>
      </c>
      <c r="F324" s="42">
        <f t="shared" si="5"/>
        <v>0</v>
      </c>
    </row>
    <row r="325" spans="2:6" x14ac:dyDescent="0.3">
      <c r="B325" s="42" t="e">
        <f>IF(Setup!$B$3:$B$324&lt;&gt;"",Setup!$B$3:$B$324,"")</f>
        <v>#VALUE!</v>
      </c>
      <c r="C325" s="46" t="e">
        <f>IF(Setup!$C$3:$C$324&lt;&gt;"",Setup!$C$3:$C$324,"")</f>
        <v>#VALUE!</v>
      </c>
      <c r="D325" s="42" t="e">
        <f t="array" ref="D325">SUM(IF(B325=Setup!$B$3:$B$1022,Setup!$D$3:$D$1022))</f>
        <v>#VALUE!</v>
      </c>
      <c r="E325" s="42">
        <f>SUMIF(Sales!A:A,Stock!B325,Sales!D:D)</f>
        <v>0</v>
      </c>
      <c r="F325" s="42" t="e">
        <f t="shared" si="5"/>
        <v>#VALUE!</v>
      </c>
    </row>
    <row r="326" spans="2:6" x14ac:dyDescent="0.3">
      <c r="B326" s="42" t="e">
        <f>IF(Setup!$B$3:$B$324&lt;&gt;"",Setup!$B$3:$B$324,"")</f>
        <v>#VALUE!</v>
      </c>
      <c r="C326" s="46" t="e">
        <f>IF(Setup!$C$3:$C$324&lt;&gt;"",Setup!$C$3:$C$324,"")</f>
        <v>#VALUE!</v>
      </c>
      <c r="D326" s="42" t="e">
        <f t="array" ref="D326">SUM(IF(B326=Setup!$B$3:$B$1022,Setup!$D$3:$D$1022))</f>
        <v>#VALUE!</v>
      </c>
      <c r="E326" s="42">
        <f>SUMIF(Sales!A:A,Stock!B326,Sales!D:D)</f>
        <v>0</v>
      </c>
      <c r="F326" s="42" t="e">
        <f t="shared" si="5"/>
        <v>#VALUE!</v>
      </c>
    </row>
    <row r="327" spans="2:6" x14ac:dyDescent="0.3">
      <c r="B327" s="42" t="e">
        <f>IF(Setup!$B$3:$B$324&lt;&gt;"",Setup!$B$3:$B$324,"")</f>
        <v>#VALUE!</v>
      </c>
      <c r="C327" s="46" t="e">
        <f>IF(Setup!$C$3:$C$324&lt;&gt;"",Setup!$C$3:$C$324,"")</f>
        <v>#VALUE!</v>
      </c>
      <c r="D327" s="42" t="e">
        <f t="array" ref="D327">SUM(IF(B327=Setup!$B$3:$B$1022,Setup!$D$3:$D$1022))</f>
        <v>#VALUE!</v>
      </c>
      <c r="E327" s="42">
        <f>SUMIF(Sales!A:A,Stock!B327,Sales!D:D)</f>
        <v>0</v>
      </c>
      <c r="F327" s="42" t="e">
        <f t="shared" si="5"/>
        <v>#VALUE!</v>
      </c>
    </row>
    <row r="328" spans="2:6" x14ac:dyDescent="0.3">
      <c r="B328" s="42" t="e">
        <f>IF(Setup!$B$3:$B$324&lt;&gt;"",Setup!$B$3:$B$324,"")</f>
        <v>#VALUE!</v>
      </c>
      <c r="C328" s="46" t="e">
        <f>IF(Setup!$C$3:$C$324&lt;&gt;"",Setup!$C$3:$C$324,"")</f>
        <v>#VALUE!</v>
      </c>
      <c r="D328" s="42" t="e">
        <f t="array" ref="D328">SUM(IF(B328=Setup!$B$3:$B$1022,Setup!$D$3:$D$1022))</f>
        <v>#VALUE!</v>
      </c>
      <c r="E328" s="42">
        <f>SUMIF(Sales!A:A,Stock!B328,Sales!D:D)</f>
        <v>0</v>
      </c>
      <c r="F328" s="42" t="e">
        <f t="shared" si="5"/>
        <v>#VALUE!</v>
      </c>
    </row>
    <row r="329" spans="2:6" x14ac:dyDescent="0.3">
      <c r="B329" s="42" t="e">
        <f>IF(Setup!$B$3:$B$324&lt;&gt;"",Setup!$B$3:$B$324,"")</f>
        <v>#VALUE!</v>
      </c>
      <c r="C329" s="46" t="e">
        <f>IF(Setup!$C$3:$C$324&lt;&gt;"",Setup!$C$3:$C$324,"")</f>
        <v>#VALUE!</v>
      </c>
      <c r="D329" s="42" t="e">
        <f t="array" ref="D329">SUM(IF(B329=Setup!$B$3:$B$1022,Setup!$D$3:$D$1022))</f>
        <v>#VALUE!</v>
      </c>
      <c r="E329" s="42">
        <f>SUMIF(Sales!A:A,Stock!B329,Sales!D:D)</f>
        <v>0</v>
      </c>
      <c r="F329" s="42" t="e">
        <f t="shared" si="5"/>
        <v>#VALUE!</v>
      </c>
    </row>
    <row r="330" spans="2:6" x14ac:dyDescent="0.3">
      <c r="B330" s="42" t="e">
        <f>IF(Setup!$B$3:$B$324&lt;&gt;"",Setup!$B$3:$B$324,"")</f>
        <v>#VALUE!</v>
      </c>
      <c r="C330" s="46" t="e">
        <f>IF(Setup!$C$3:$C$324&lt;&gt;"",Setup!$C$3:$C$324,"")</f>
        <v>#VALUE!</v>
      </c>
      <c r="D330" s="42" t="e">
        <f t="array" ref="D330">SUM(IF(B330=Setup!$B$3:$B$1022,Setup!$D$3:$D$1022))</f>
        <v>#VALUE!</v>
      </c>
      <c r="E330" s="42">
        <f>SUMIF(Sales!A:A,Stock!B330,Sales!D:D)</f>
        <v>0</v>
      </c>
      <c r="F330" s="42" t="e">
        <f t="shared" si="5"/>
        <v>#VALUE!</v>
      </c>
    </row>
    <row r="331" spans="2:6" x14ac:dyDescent="0.3">
      <c r="B331" s="42" t="e">
        <f>IF(Setup!$B$3:$B$324&lt;&gt;"",Setup!$B$3:$B$324,"")</f>
        <v>#VALUE!</v>
      </c>
      <c r="C331" s="46" t="e">
        <f>IF(Setup!$C$3:$C$324&lt;&gt;"",Setup!$C$3:$C$324,"")</f>
        <v>#VALUE!</v>
      </c>
      <c r="D331" s="42" t="e">
        <f t="array" ref="D331">SUM(IF(B331=Setup!$B$3:$B$1022,Setup!$D$3:$D$1022))</f>
        <v>#VALUE!</v>
      </c>
      <c r="E331" s="42">
        <f>SUMIF(Sales!A:A,Stock!B331,Sales!D:D)</f>
        <v>0</v>
      </c>
      <c r="F331" s="42" t="e">
        <f t="shared" si="5"/>
        <v>#VALUE!</v>
      </c>
    </row>
    <row r="332" spans="2:6" x14ac:dyDescent="0.3">
      <c r="B332" s="42" t="e">
        <f>IF(Setup!$B$3:$B$324&lt;&gt;"",Setup!$B$3:$B$324,"")</f>
        <v>#VALUE!</v>
      </c>
      <c r="C332" s="46" t="e">
        <f>IF(Setup!$C$3:$C$324&lt;&gt;"",Setup!$C$3:$C$324,"")</f>
        <v>#VALUE!</v>
      </c>
      <c r="D332" s="42" t="e">
        <f t="array" ref="D332">SUM(IF(B332=Setup!$B$3:$B$1022,Setup!$D$3:$D$1022))</f>
        <v>#VALUE!</v>
      </c>
      <c r="E332" s="42">
        <f>SUMIF(Sales!A:A,Stock!B332,Sales!D:D)</f>
        <v>0</v>
      </c>
      <c r="F332" s="42" t="e">
        <f t="shared" si="5"/>
        <v>#VALUE!</v>
      </c>
    </row>
    <row r="333" spans="2:6" x14ac:dyDescent="0.3">
      <c r="B333" s="42" t="e">
        <f>IF(Setup!$B$3:$B$324&lt;&gt;"",Setup!$B$3:$B$324,"")</f>
        <v>#VALUE!</v>
      </c>
      <c r="C333" s="46" t="e">
        <f>IF(Setup!$C$3:$C$324&lt;&gt;"",Setup!$C$3:$C$324,"")</f>
        <v>#VALUE!</v>
      </c>
      <c r="D333" s="42" t="e">
        <f t="array" ref="D333">SUM(IF(B333=Setup!$B$3:$B$1022,Setup!$D$3:$D$1022))</f>
        <v>#VALUE!</v>
      </c>
      <c r="E333" s="42">
        <f>SUMIF(Sales!A:A,Stock!B333,Sales!D:D)</f>
        <v>0</v>
      </c>
      <c r="F333" s="42" t="e">
        <f t="shared" si="5"/>
        <v>#VALUE!</v>
      </c>
    </row>
    <row r="334" spans="2:6" x14ac:dyDescent="0.3">
      <c r="B334" s="42" t="e">
        <f>IF(Setup!$B$3:$B$324&lt;&gt;"",Setup!$B$3:$B$324,"")</f>
        <v>#VALUE!</v>
      </c>
      <c r="C334" s="46" t="e">
        <f>IF(Setup!$C$3:$C$324&lt;&gt;"",Setup!$C$3:$C$324,"")</f>
        <v>#VALUE!</v>
      </c>
      <c r="D334" s="42" t="e">
        <f t="array" ref="D334">SUM(IF(B334=Setup!$B$3:$B$1022,Setup!$D$3:$D$1022))</f>
        <v>#VALUE!</v>
      </c>
      <c r="E334" s="42">
        <f>SUMIF(Sales!A:A,Stock!B334,Sales!D:D)</f>
        <v>0</v>
      </c>
      <c r="F334" s="42" t="e">
        <f t="shared" si="5"/>
        <v>#VALUE!</v>
      </c>
    </row>
    <row r="335" spans="2:6" x14ac:dyDescent="0.3">
      <c r="B335" s="42" t="e">
        <f>IF(Setup!$B$3:$B$324&lt;&gt;"",Setup!$B$3:$B$324,"")</f>
        <v>#VALUE!</v>
      </c>
      <c r="C335" s="46" t="e">
        <f>IF(Setup!$C$3:$C$324&lt;&gt;"",Setup!$C$3:$C$324,"")</f>
        <v>#VALUE!</v>
      </c>
      <c r="D335" s="42" t="e">
        <f t="array" ref="D335">SUM(IF(B335=Setup!$B$3:$B$1022,Setup!$D$3:$D$1022))</f>
        <v>#VALUE!</v>
      </c>
      <c r="E335" s="42">
        <f>SUMIF(Sales!A:A,Stock!B335,Sales!D:D)</f>
        <v>0</v>
      </c>
      <c r="F335" s="42" t="e">
        <f t="shared" si="5"/>
        <v>#VALUE!</v>
      </c>
    </row>
    <row r="336" spans="2:6" x14ac:dyDescent="0.3">
      <c r="B336" s="42" t="e">
        <f>IF(Setup!$B$3:$B$324&lt;&gt;"",Setup!$B$3:$B$324,"")</f>
        <v>#VALUE!</v>
      </c>
      <c r="C336" s="46" t="e">
        <f>IF(Setup!$C$3:$C$324&lt;&gt;"",Setup!$C$3:$C$324,"")</f>
        <v>#VALUE!</v>
      </c>
      <c r="D336" s="42" t="e">
        <f t="array" ref="D336">SUM(IF(B336=Setup!$B$3:$B$1022,Setup!$D$3:$D$1022))</f>
        <v>#VALUE!</v>
      </c>
      <c r="E336" s="42">
        <f>SUMIF(Sales!A:A,Stock!B336,Sales!D:D)</f>
        <v>0</v>
      </c>
      <c r="F336" s="42" t="e">
        <f t="shared" si="5"/>
        <v>#VALUE!</v>
      </c>
    </row>
    <row r="337" spans="2:6" x14ac:dyDescent="0.3">
      <c r="B337" s="42" t="e">
        <f>IF(Setup!$B$3:$B$324&lt;&gt;"",Setup!$B$3:$B$324,"")</f>
        <v>#VALUE!</v>
      </c>
      <c r="C337" s="46" t="e">
        <f>IF(Setup!$C$3:$C$324&lt;&gt;"",Setup!$C$3:$C$324,"")</f>
        <v>#VALUE!</v>
      </c>
      <c r="D337" s="42" t="e">
        <f t="array" ref="D337">SUM(IF(B337=Setup!$B$3:$B$1022,Setup!$D$3:$D$1022))</f>
        <v>#VALUE!</v>
      </c>
      <c r="E337" s="42">
        <f>SUMIF(Sales!A:A,Stock!B337,Sales!D:D)</f>
        <v>0</v>
      </c>
      <c r="F337" s="42" t="e">
        <f t="shared" si="5"/>
        <v>#VALUE!</v>
      </c>
    </row>
    <row r="338" spans="2:6" x14ac:dyDescent="0.3">
      <c r="B338" s="42" t="e">
        <f>IF(Setup!$B$3:$B$324&lt;&gt;"",Setup!$B$3:$B$324,"")</f>
        <v>#VALUE!</v>
      </c>
      <c r="C338" s="46" t="e">
        <f>IF(Setup!$C$3:$C$324&lt;&gt;"",Setup!$C$3:$C$324,"")</f>
        <v>#VALUE!</v>
      </c>
      <c r="D338" s="42" t="e">
        <f t="array" ref="D338">SUM(IF(B338=Setup!$B$3:$B$1022,Setup!$D$3:$D$1022))</f>
        <v>#VALUE!</v>
      </c>
      <c r="E338" s="42">
        <f>SUMIF(Sales!A:A,Stock!B338,Sales!D:D)</f>
        <v>0</v>
      </c>
      <c r="F338" s="42" t="e">
        <f t="shared" si="5"/>
        <v>#VALUE!</v>
      </c>
    </row>
    <row r="339" spans="2:6" x14ac:dyDescent="0.3">
      <c r="B339" s="42" t="e">
        <f>IF(Setup!$B$3:$B$324&lt;&gt;"",Setup!$B$3:$B$324,"")</f>
        <v>#VALUE!</v>
      </c>
      <c r="C339" s="46" t="e">
        <f>IF(Setup!$C$3:$C$324&lt;&gt;"",Setup!$C$3:$C$324,"")</f>
        <v>#VALUE!</v>
      </c>
      <c r="D339" s="42" t="e">
        <f t="array" ref="D339">SUM(IF(B339=Setup!$B$3:$B$1022,Setup!$D$3:$D$1022))</f>
        <v>#VALUE!</v>
      </c>
      <c r="E339" s="42">
        <f>SUMIF(Sales!A:A,Stock!B339,Sales!D:D)</f>
        <v>0</v>
      </c>
      <c r="F339" s="42" t="e">
        <f t="shared" si="5"/>
        <v>#VALUE!</v>
      </c>
    </row>
    <row r="340" spans="2:6" x14ac:dyDescent="0.3">
      <c r="B340" s="42" t="e">
        <f>IF(Setup!$B$3:$B$324&lt;&gt;"",Setup!$B$3:$B$324,"")</f>
        <v>#VALUE!</v>
      </c>
      <c r="C340" s="46" t="e">
        <f>IF(Setup!$C$3:$C$324&lt;&gt;"",Setup!$C$3:$C$324,"")</f>
        <v>#VALUE!</v>
      </c>
      <c r="D340" s="42" t="e">
        <f t="array" ref="D340">SUM(IF(B340=Setup!$B$3:$B$1022,Setup!$D$3:$D$1022))</f>
        <v>#VALUE!</v>
      </c>
      <c r="E340" s="42">
        <f>SUMIF(Sales!A:A,Stock!B340,Sales!D:D)</f>
        <v>0</v>
      </c>
      <c r="F340" s="42" t="e">
        <f t="shared" si="5"/>
        <v>#VALUE!</v>
      </c>
    </row>
    <row r="341" spans="2:6" x14ac:dyDescent="0.3">
      <c r="B341" s="42" t="e">
        <f>IF(Setup!$B$3:$B$324&lt;&gt;"",Setup!$B$3:$B$324,"")</f>
        <v>#VALUE!</v>
      </c>
      <c r="C341" s="46" t="e">
        <f>IF(Setup!$C$3:$C$324&lt;&gt;"",Setup!$C$3:$C$324,"")</f>
        <v>#VALUE!</v>
      </c>
      <c r="D341" s="42" t="e">
        <f t="array" ref="D341">SUM(IF(B341=Setup!$B$3:$B$1022,Setup!$D$3:$D$1022))</f>
        <v>#VALUE!</v>
      </c>
      <c r="E341" s="42">
        <f>SUMIF(Sales!A:A,Stock!B341,Sales!D:D)</f>
        <v>0</v>
      </c>
      <c r="F341" s="42" t="e">
        <f t="shared" si="5"/>
        <v>#VALUE!</v>
      </c>
    </row>
    <row r="342" spans="2:6" x14ac:dyDescent="0.3">
      <c r="B342" s="42" t="e">
        <f>IF(Setup!$B$3:$B$324&lt;&gt;"",Setup!$B$3:$B$324,"")</f>
        <v>#VALUE!</v>
      </c>
      <c r="C342" s="46" t="e">
        <f>IF(Setup!$C$3:$C$324&lt;&gt;"",Setup!$C$3:$C$324,"")</f>
        <v>#VALUE!</v>
      </c>
      <c r="D342" s="42" t="e">
        <f t="array" ref="D342">SUM(IF(B342=Setup!$B$3:$B$1022,Setup!$D$3:$D$1022))</f>
        <v>#VALUE!</v>
      </c>
      <c r="E342" s="42">
        <f>SUMIF(Sales!A:A,Stock!B342,Sales!D:D)</f>
        <v>0</v>
      </c>
      <c r="F342" s="42" t="e">
        <f t="shared" si="5"/>
        <v>#VALUE!</v>
      </c>
    </row>
    <row r="343" spans="2:6" x14ac:dyDescent="0.3">
      <c r="B343" s="42" t="e">
        <f>IF(Setup!$B$3:$B$324&lt;&gt;"",Setup!$B$3:$B$324,"")</f>
        <v>#VALUE!</v>
      </c>
      <c r="C343" s="46" t="e">
        <f>IF(Setup!$C$3:$C$324&lt;&gt;"",Setup!$C$3:$C$324,"")</f>
        <v>#VALUE!</v>
      </c>
      <c r="D343" s="42" t="e">
        <f t="array" ref="D343">SUM(IF(B343=Setup!$B$3:$B$1022,Setup!$D$3:$D$1022))</f>
        <v>#VALUE!</v>
      </c>
      <c r="E343" s="42">
        <f>SUMIF(Sales!A:A,Stock!B343,Sales!D:D)</f>
        <v>0</v>
      </c>
      <c r="F343" s="42" t="e">
        <f t="shared" si="5"/>
        <v>#VALUE!</v>
      </c>
    </row>
    <row r="344" spans="2:6" x14ac:dyDescent="0.3">
      <c r="B344" s="42" t="e">
        <f>IF(Setup!$B$3:$B$324&lt;&gt;"",Setup!$B$3:$B$324,"")</f>
        <v>#VALUE!</v>
      </c>
      <c r="C344" s="46" t="e">
        <f>IF(Setup!$C$3:$C$324&lt;&gt;"",Setup!$C$3:$C$324,"")</f>
        <v>#VALUE!</v>
      </c>
      <c r="D344" s="42" t="e">
        <f t="array" ref="D344">SUM(IF(B344=Setup!$B$3:$B$1022,Setup!$D$3:$D$1022))</f>
        <v>#VALUE!</v>
      </c>
      <c r="E344" s="42">
        <f>SUMIF(Sales!A:A,Stock!B344,Sales!D:D)</f>
        <v>0</v>
      </c>
      <c r="F344" s="42" t="e">
        <f t="shared" si="5"/>
        <v>#VALUE!</v>
      </c>
    </row>
    <row r="345" spans="2:6" x14ac:dyDescent="0.3">
      <c r="B345" s="42" t="e">
        <f>IF(Setup!$B$3:$B$324&lt;&gt;"",Setup!$B$3:$B$324,"")</f>
        <v>#VALUE!</v>
      </c>
      <c r="C345" s="46" t="e">
        <f>IF(Setup!$C$3:$C$324&lt;&gt;"",Setup!$C$3:$C$324,"")</f>
        <v>#VALUE!</v>
      </c>
      <c r="D345" s="42" t="e">
        <f t="array" ref="D345">SUM(IF(B345=Setup!$B$3:$B$1022,Setup!$D$3:$D$1022))</f>
        <v>#VALUE!</v>
      </c>
      <c r="E345" s="42">
        <f>SUMIF(Sales!A:A,Stock!B345,Sales!D:D)</f>
        <v>0</v>
      </c>
      <c r="F345" s="42" t="e">
        <f t="shared" si="5"/>
        <v>#VALUE!</v>
      </c>
    </row>
    <row r="346" spans="2:6" x14ac:dyDescent="0.3">
      <c r="B346" s="42" t="e">
        <f>IF(Setup!$B$3:$B$324&lt;&gt;"",Setup!$B$3:$B$324,"")</f>
        <v>#VALUE!</v>
      </c>
      <c r="C346" s="46" t="e">
        <f>IF(Setup!$C$3:$C$324&lt;&gt;"",Setup!$C$3:$C$324,"")</f>
        <v>#VALUE!</v>
      </c>
      <c r="D346" s="42" t="e">
        <f t="array" ref="D346">SUM(IF(B346=Setup!$B$3:$B$1022,Setup!$D$3:$D$1022))</f>
        <v>#VALUE!</v>
      </c>
      <c r="E346" s="42">
        <f>SUMIF(Sales!A:A,Stock!B346,Sales!D:D)</f>
        <v>0</v>
      </c>
      <c r="F346" s="42" t="e">
        <f t="shared" si="5"/>
        <v>#VALUE!</v>
      </c>
    </row>
    <row r="347" spans="2:6" x14ac:dyDescent="0.3">
      <c r="B347" s="42" t="e">
        <f>IF(Setup!$B$3:$B$324&lt;&gt;"",Setup!$B$3:$B$324,"")</f>
        <v>#VALUE!</v>
      </c>
      <c r="C347" s="46" t="e">
        <f>IF(Setup!$C$3:$C$324&lt;&gt;"",Setup!$C$3:$C$324,"")</f>
        <v>#VALUE!</v>
      </c>
      <c r="D347" s="42" t="e">
        <f t="array" ref="D347">SUM(IF(B347=Setup!$B$3:$B$1022,Setup!$D$3:$D$1022))</f>
        <v>#VALUE!</v>
      </c>
      <c r="E347" s="42">
        <f>SUMIF(Sales!A:A,Stock!B347,Sales!D:D)</f>
        <v>0</v>
      </c>
      <c r="F347" s="42" t="e">
        <f t="shared" si="5"/>
        <v>#VALUE!</v>
      </c>
    </row>
    <row r="348" spans="2:6" x14ac:dyDescent="0.3">
      <c r="B348" s="42" t="e">
        <f>IF(Setup!$B$3:$B$324&lt;&gt;"",Setup!$B$3:$B$324,"")</f>
        <v>#VALUE!</v>
      </c>
      <c r="C348" s="46" t="e">
        <f>IF(Setup!$C$3:$C$324&lt;&gt;"",Setup!$C$3:$C$324,"")</f>
        <v>#VALUE!</v>
      </c>
      <c r="D348" s="42" t="e">
        <f t="array" ref="D348">SUM(IF(B348=Setup!$B$3:$B$1022,Setup!$D$3:$D$1022))</f>
        <v>#VALUE!</v>
      </c>
      <c r="E348" s="42">
        <f>SUMIF(Sales!A:A,Stock!B348,Sales!D:D)</f>
        <v>0</v>
      </c>
      <c r="F348" s="42" t="e">
        <f t="shared" si="5"/>
        <v>#VALUE!</v>
      </c>
    </row>
    <row r="349" spans="2:6" x14ac:dyDescent="0.3">
      <c r="B349" s="42" t="e">
        <f>IF(Setup!$B$3:$B$324&lt;&gt;"",Setup!$B$3:$B$324,"")</f>
        <v>#VALUE!</v>
      </c>
      <c r="C349" s="46" t="e">
        <f>IF(Setup!$C$3:$C$324&lt;&gt;"",Setup!$C$3:$C$324,"")</f>
        <v>#VALUE!</v>
      </c>
      <c r="D349" s="42" t="e">
        <f t="array" ref="D349">SUM(IF(B349=Setup!$B$3:$B$1022,Setup!$D$3:$D$1022))</f>
        <v>#VALUE!</v>
      </c>
      <c r="E349" s="42">
        <f>SUMIF(Sales!A:A,Stock!B349,Sales!D:D)</f>
        <v>0</v>
      </c>
      <c r="F349" s="42" t="e">
        <f t="shared" si="5"/>
        <v>#VALUE!</v>
      </c>
    </row>
    <row r="350" spans="2:6" x14ac:dyDescent="0.3">
      <c r="B350" s="42" t="e">
        <f>IF(Setup!$B$3:$B$324&lt;&gt;"",Setup!$B$3:$B$324,"")</f>
        <v>#VALUE!</v>
      </c>
      <c r="C350" s="46" t="e">
        <f>IF(Setup!$C$3:$C$324&lt;&gt;"",Setup!$C$3:$C$324,"")</f>
        <v>#VALUE!</v>
      </c>
      <c r="D350" s="42" t="e">
        <f t="array" ref="D350">SUM(IF(B350=Setup!$B$3:$B$1022,Setup!$D$3:$D$1022))</f>
        <v>#VALUE!</v>
      </c>
      <c r="E350" s="42">
        <f>SUMIF(Sales!A:A,Stock!B350,Sales!D:D)</f>
        <v>0</v>
      </c>
      <c r="F350" s="42" t="e">
        <f t="shared" si="5"/>
        <v>#VALUE!</v>
      </c>
    </row>
    <row r="351" spans="2:6" x14ac:dyDescent="0.3">
      <c r="B351" s="42" t="e">
        <f>IF(Setup!$B$3:$B$324&lt;&gt;"",Setup!$B$3:$B$324,"")</f>
        <v>#VALUE!</v>
      </c>
      <c r="C351" s="46" t="e">
        <f>IF(Setup!$C$3:$C$324&lt;&gt;"",Setup!$C$3:$C$324,"")</f>
        <v>#VALUE!</v>
      </c>
      <c r="D351" s="42" t="e">
        <f t="array" ref="D351">SUM(IF(B351=Setup!$B$3:$B$1022,Setup!$D$3:$D$1022))</f>
        <v>#VALUE!</v>
      </c>
      <c r="E351" s="42">
        <f>SUMIF(Sales!A:A,Stock!B351,Sales!D:D)</f>
        <v>0</v>
      </c>
      <c r="F351" s="42" t="e">
        <f t="shared" si="5"/>
        <v>#VALUE!</v>
      </c>
    </row>
    <row r="352" spans="2:6" x14ac:dyDescent="0.3">
      <c r="B352" s="42" t="e">
        <f>IF(Setup!$B$3:$B$324&lt;&gt;"",Setup!$B$3:$B$324,"")</f>
        <v>#VALUE!</v>
      </c>
      <c r="C352" s="46" t="e">
        <f>IF(Setup!$C$3:$C$324&lt;&gt;"",Setup!$C$3:$C$324,"")</f>
        <v>#VALUE!</v>
      </c>
      <c r="D352" s="42" t="e">
        <f t="array" ref="D352">SUM(IF(B352=Setup!$B$3:$B$1022,Setup!$D$3:$D$1022))</f>
        <v>#VALUE!</v>
      </c>
      <c r="E352" s="42">
        <f>SUMIF(Sales!A:A,Stock!B352,Sales!D:D)</f>
        <v>0</v>
      </c>
      <c r="F352" s="42" t="e">
        <f t="shared" si="5"/>
        <v>#VALUE!</v>
      </c>
    </row>
    <row r="353" spans="2:6" x14ac:dyDescent="0.3">
      <c r="B353" s="42" t="e">
        <f>IF(Setup!$B$3:$B$324&lt;&gt;"",Setup!$B$3:$B$324,"")</f>
        <v>#VALUE!</v>
      </c>
      <c r="C353" s="46" t="e">
        <f>IF(Setup!$C$3:$C$324&lt;&gt;"",Setup!$C$3:$C$324,"")</f>
        <v>#VALUE!</v>
      </c>
      <c r="D353" s="42" t="e">
        <f t="array" ref="D353">SUM(IF(B353=Setup!$B$3:$B$1022,Setup!$D$3:$D$1022))</f>
        <v>#VALUE!</v>
      </c>
      <c r="E353" s="42">
        <f>SUMIF(Sales!A:A,Stock!B353,Sales!D:D)</f>
        <v>0</v>
      </c>
      <c r="F353" s="42" t="e">
        <f t="shared" si="5"/>
        <v>#VALUE!</v>
      </c>
    </row>
    <row r="354" spans="2:6" x14ac:dyDescent="0.3">
      <c r="B354" s="42" t="e">
        <f>IF(Setup!$B$3:$B$324&lt;&gt;"",Setup!$B$3:$B$324,"")</f>
        <v>#VALUE!</v>
      </c>
      <c r="C354" s="46" t="e">
        <f>IF(Setup!$C$3:$C$324&lt;&gt;"",Setup!$C$3:$C$324,"")</f>
        <v>#VALUE!</v>
      </c>
      <c r="D354" s="42" t="e">
        <f t="array" ref="D354">SUM(IF(B354=Setup!$B$3:$B$1022,Setup!$D$3:$D$1022))</f>
        <v>#VALUE!</v>
      </c>
      <c r="E354" s="42">
        <f>SUMIF(Sales!A:A,Stock!B354,Sales!D:D)</f>
        <v>0</v>
      </c>
      <c r="F354" s="42" t="e">
        <f t="shared" si="5"/>
        <v>#VALUE!</v>
      </c>
    </row>
    <row r="355" spans="2:6" x14ac:dyDescent="0.3">
      <c r="B355" s="42" t="e">
        <f>IF(Setup!$B$3:$B$324&lt;&gt;"",Setup!$B$3:$B$324,"")</f>
        <v>#VALUE!</v>
      </c>
      <c r="C355" s="46" t="e">
        <f>IF(Setup!$C$3:$C$324&lt;&gt;"",Setup!$C$3:$C$324,"")</f>
        <v>#VALUE!</v>
      </c>
      <c r="D355" s="42" t="e">
        <f t="array" ref="D355">SUM(IF(B355=Setup!$B$3:$B$1022,Setup!$D$3:$D$1022))</f>
        <v>#VALUE!</v>
      </c>
      <c r="E355" s="42">
        <f>SUMIF(Sales!A:A,Stock!B355,Sales!D:D)</f>
        <v>0</v>
      </c>
      <c r="F355" s="42" t="e">
        <f t="shared" si="5"/>
        <v>#VALUE!</v>
      </c>
    </row>
    <row r="356" spans="2:6" x14ac:dyDescent="0.3">
      <c r="B356" s="42" t="e">
        <f>IF(Setup!$B$3:$B$324&lt;&gt;"",Setup!$B$3:$B$324,"")</f>
        <v>#VALUE!</v>
      </c>
      <c r="C356" s="46" t="e">
        <f>IF(Setup!$C$3:$C$324&lt;&gt;"",Setup!$C$3:$C$324,"")</f>
        <v>#VALUE!</v>
      </c>
      <c r="D356" s="42" t="e">
        <f t="array" ref="D356">SUM(IF(B356=Setup!$B$3:$B$1022,Setup!$D$3:$D$1022))</f>
        <v>#VALUE!</v>
      </c>
      <c r="E356" s="42">
        <f>SUMIF(Sales!A:A,Stock!B356,Sales!D:D)</f>
        <v>0</v>
      </c>
      <c r="F356" s="42" t="e">
        <f t="shared" si="5"/>
        <v>#VALUE!</v>
      </c>
    </row>
    <row r="357" spans="2:6" x14ac:dyDescent="0.3">
      <c r="B357" s="42" t="e">
        <f>IF(Setup!$B$3:$B$324&lt;&gt;"",Setup!$B$3:$B$324,"")</f>
        <v>#VALUE!</v>
      </c>
      <c r="C357" s="46" t="e">
        <f>IF(Setup!$C$3:$C$324&lt;&gt;"",Setup!$C$3:$C$324,"")</f>
        <v>#VALUE!</v>
      </c>
      <c r="D357" s="42" t="e">
        <f t="array" ref="D357">SUM(IF(B357=Setup!$B$3:$B$1022,Setup!$D$3:$D$1022))</f>
        <v>#VALUE!</v>
      </c>
      <c r="E357" s="42">
        <f>SUMIF(Sales!A:A,Stock!B357,Sales!D:D)</f>
        <v>0</v>
      </c>
      <c r="F357" s="42" t="e">
        <f t="shared" si="5"/>
        <v>#VALUE!</v>
      </c>
    </row>
    <row r="358" spans="2:6" x14ac:dyDescent="0.3">
      <c r="B358" s="42" t="e">
        <f>IF(Setup!$B$3:$B$324&lt;&gt;"",Setup!$B$3:$B$324,"")</f>
        <v>#VALUE!</v>
      </c>
      <c r="C358" s="46" t="e">
        <f>IF(Setup!$C$3:$C$324&lt;&gt;"",Setup!$C$3:$C$324,"")</f>
        <v>#VALUE!</v>
      </c>
      <c r="D358" s="42" t="e">
        <f t="array" ref="D358">SUM(IF(B358=Setup!$B$3:$B$1022,Setup!$D$3:$D$1022))</f>
        <v>#VALUE!</v>
      </c>
      <c r="E358" s="42">
        <f>SUMIF(Sales!A:A,Stock!B358,Sales!D:D)</f>
        <v>0</v>
      </c>
      <c r="F358" s="42" t="e">
        <f t="shared" si="5"/>
        <v>#VALUE!</v>
      </c>
    </row>
    <row r="359" spans="2:6" x14ac:dyDescent="0.3">
      <c r="B359" s="42" t="e">
        <f>IF(Setup!$B$3:$B$324&lt;&gt;"",Setup!$B$3:$B$324,"")</f>
        <v>#VALUE!</v>
      </c>
      <c r="C359" s="46" t="e">
        <f>IF(Setup!$C$3:$C$324&lt;&gt;"",Setup!$C$3:$C$324,"")</f>
        <v>#VALUE!</v>
      </c>
      <c r="D359" s="42" t="e">
        <f t="array" ref="D359">SUM(IF(B359=Setup!$B$3:$B$1022,Setup!$D$3:$D$1022))</f>
        <v>#VALUE!</v>
      </c>
      <c r="E359" s="42">
        <f>SUMIF(Sales!A:A,Stock!B359,Sales!D:D)</f>
        <v>0</v>
      </c>
      <c r="F359" s="42" t="e">
        <f t="shared" si="5"/>
        <v>#VALUE!</v>
      </c>
    </row>
    <row r="360" spans="2:6" x14ac:dyDescent="0.3">
      <c r="B360" s="42" t="e">
        <f>IF(Setup!$B$3:$B$324&lt;&gt;"",Setup!$B$3:$B$324,"")</f>
        <v>#VALUE!</v>
      </c>
      <c r="C360" s="46" t="e">
        <f>IF(Setup!$C$3:$C$324&lt;&gt;"",Setup!$C$3:$C$324,"")</f>
        <v>#VALUE!</v>
      </c>
      <c r="D360" s="42" t="e">
        <f t="array" ref="D360">SUM(IF(B360=Setup!$B$3:$B$1022,Setup!$D$3:$D$1022))</f>
        <v>#VALUE!</v>
      </c>
      <c r="E360" s="42">
        <f>SUMIF(Sales!A:A,Stock!B360,Sales!D:D)</f>
        <v>0</v>
      </c>
      <c r="F360" s="42" t="e">
        <f t="shared" si="5"/>
        <v>#VALUE!</v>
      </c>
    </row>
    <row r="361" spans="2:6" x14ac:dyDescent="0.3">
      <c r="B361" s="42" t="e">
        <f>IF(Setup!$B$3:$B$324&lt;&gt;"",Setup!$B$3:$B$324,"")</f>
        <v>#VALUE!</v>
      </c>
      <c r="C361" s="46" t="e">
        <f>IF(Setup!$C$3:$C$324&lt;&gt;"",Setup!$C$3:$C$324,"")</f>
        <v>#VALUE!</v>
      </c>
      <c r="D361" s="42" t="e">
        <f t="array" ref="D361">SUM(IF(B361=Setup!$B$3:$B$1022,Setup!$D$3:$D$1022))</f>
        <v>#VALUE!</v>
      </c>
      <c r="E361" s="42">
        <f>SUMIF(Sales!A:A,Stock!B361,Sales!D:D)</f>
        <v>0</v>
      </c>
      <c r="F361" s="42" t="e">
        <f t="shared" si="5"/>
        <v>#VALUE!</v>
      </c>
    </row>
    <row r="362" spans="2:6" x14ac:dyDescent="0.3">
      <c r="B362" s="42" t="e">
        <f>IF(Setup!$B$3:$B$324&lt;&gt;"",Setup!$B$3:$B$324,"")</f>
        <v>#VALUE!</v>
      </c>
      <c r="C362" s="46" t="e">
        <f>IF(Setup!$C$3:$C$324&lt;&gt;"",Setup!$C$3:$C$324,"")</f>
        <v>#VALUE!</v>
      </c>
      <c r="D362" s="42" t="e">
        <f t="array" ref="D362">SUM(IF(B362=Setup!$B$3:$B$1022,Setup!$D$3:$D$1022))</f>
        <v>#VALUE!</v>
      </c>
      <c r="E362" s="42">
        <f>SUMIF(Sales!A:A,Stock!B362,Sales!D:D)</f>
        <v>0</v>
      </c>
      <c r="F362" s="42" t="e">
        <f t="shared" si="5"/>
        <v>#VALUE!</v>
      </c>
    </row>
    <row r="363" spans="2:6" x14ac:dyDescent="0.3">
      <c r="B363" s="42" t="e">
        <f>IF(Setup!$B$3:$B$324&lt;&gt;"",Setup!$B$3:$B$324,"")</f>
        <v>#VALUE!</v>
      </c>
      <c r="C363" s="46" t="e">
        <f>IF(Setup!$C$3:$C$324&lt;&gt;"",Setup!$C$3:$C$324,"")</f>
        <v>#VALUE!</v>
      </c>
      <c r="D363" s="42" t="e">
        <f t="array" ref="D363">SUM(IF(B363=Setup!$B$3:$B$1022,Setup!$D$3:$D$1022))</f>
        <v>#VALUE!</v>
      </c>
      <c r="E363" s="42">
        <f>SUMIF(Sales!A:A,Stock!B363,Sales!D:D)</f>
        <v>0</v>
      </c>
      <c r="F363" s="42" t="e">
        <f t="shared" si="5"/>
        <v>#VALUE!</v>
      </c>
    </row>
    <row r="364" spans="2:6" x14ac:dyDescent="0.3">
      <c r="B364" s="42" t="e">
        <f>IF(Setup!$B$3:$B$324&lt;&gt;"",Setup!$B$3:$B$324,"")</f>
        <v>#VALUE!</v>
      </c>
      <c r="C364" s="46" t="e">
        <f>IF(Setup!$C$3:$C$324&lt;&gt;"",Setup!$C$3:$C$324,"")</f>
        <v>#VALUE!</v>
      </c>
      <c r="D364" s="42" t="e">
        <f t="array" ref="D364">SUM(IF(B364=Setup!$B$3:$B$1022,Setup!$D$3:$D$1022))</f>
        <v>#VALUE!</v>
      </c>
      <c r="E364" s="42">
        <f>SUMIF(Sales!A:A,Stock!B364,Sales!D:D)</f>
        <v>0</v>
      </c>
      <c r="F364" s="42" t="e">
        <f t="shared" si="5"/>
        <v>#VALUE!</v>
      </c>
    </row>
    <row r="365" spans="2:6" x14ac:dyDescent="0.3">
      <c r="B365" s="42" t="e">
        <f>IF(Setup!$B$3:$B$324&lt;&gt;"",Setup!$B$3:$B$324,"")</f>
        <v>#VALUE!</v>
      </c>
      <c r="C365" s="46" t="e">
        <f>IF(Setup!$C$3:$C$324&lt;&gt;"",Setup!$C$3:$C$324,"")</f>
        <v>#VALUE!</v>
      </c>
      <c r="D365" s="42" t="e">
        <f t="array" ref="D365">SUM(IF(B365=Setup!$B$3:$B$1022,Setup!$D$3:$D$1022))</f>
        <v>#VALUE!</v>
      </c>
      <c r="E365" s="42">
        <f>SUMIF(Sales!A:A,Stock!B365,Sales!D:D)</f>
        <v>0</v>
      </c>
      <c r="F365" s="42" t="e">
        <f t="shared" si="5"/>
        <v>#VALUE!</v>
      </c>
    </row>
    <row r="366" spans="2:6" x14ac:dyDescent="0.3">
      <c r="B366" s="42" t="e">
        <f>IF(Setup!$B$3:$B$324&lt;&gt;"",Setup!$B$3:$B$324,"")</f>
        <v>#VALUE!</v>
      </c>
      <c r="C366" s="46" t="e">
        <f>IF(Setup!$C$3:$C$324&lt;&gt;"",Setup!$C$3:$C$324,"")</f>
        <v>#VALUE!</v>
      </c>
      <c r="D366" s="42" t="e">
        <f t="array" ref="D366">SUM(IF(B366=Setup!$B$3:$B$1022,Setup!$D$3:$D$1022))</f>
        <v>#VALUE!</v>
      </c>
      <c r="E366" s="42">
        <f>SUMIF(Sales!A:A,Stock!B366,Sales!D:D)</f>
        <v>0</v>
      </c>
      <c r="F366" s="42" t="e">
        <f t="shared" si="5"/>
        <v>#VALUE!</v>
      </c>
    </row>
    <row r="367" spans="2:6" x14ac:dyDescent="0.3">
      <c r="B367" s="42" t="e">
        <f>IF(Setup!$B$3:$B$324&lt;&gt;"",Setup!$B$3:$B$324,"")</f>
        <v>#VALUE!</v>
      </c>
      <c r="C367" s="46" t="e">
        <f>IF(Setup!$C$3:$C$324&lt;&gt;"",Setup!$C$3:$C$324,"")</f>
        <v>#VALUE!</v>
      </c>
      <c r="D367" s="42" t="e">
        <f t="array" ref="D367">SUM(IF(B367=Setup!$B$3:$B$1022,Setup!$D$3:$D$1022))</f>
        <v>#VALUE!</v>
      </c>
      <c r="E367" s="42">
        <f>SUMIF(Sales!A:A,Stock!B367,Sales!D:D)</f>
        <v>0</v>
      </c>
      <c r="F367" s="42" t="e">
        <f t="shared" si="5"/>
        <v>#VALUE!</v>
      </c>
    </row>
    <row r="368" spans="2:6" x14ac:dyDescent="0.3">
      <c r="B368" s="42" t="e">
        <f>IF(Setup!$B$3:$B$324&lt;&gt;"",Setup!$B$3:$B$324,"")</f>
        <v>#VALUE!</v>
      </c>
      <c r="C368" s="46" t="e">
        <f>IF(Setup!$C$3:$C$324&lt;&gt;"",Setup!$C$3:$C$324,"")</f>
        <v>#VALUE!</v>
      </c>
      <c r="D368" s="42" t="e">
        <f t="array" ref="D368">SUM(IF(B368=Setup!$B$3:$B$1022,Setup!$D$3:$D$1022))</f>
        <v>#VALUE!</v>
      </c>
      <c r="E368" s="42">
        <f>SUMIF(Sales!A:A,Stock!B368,Sales!D:D)</f>
        <v>0</v>
      </c>
      <c r="F368" s="42" t="e">
        <f t="shared" si="5"/>
        <v>#VALUE!</v>
      </c>
    </row>
    <row r="369" spans="2:6" x14ac:dyDescent="0.3">
      <c r="B369" s="42" t="e">
        <f>IF(Setup!$B$3:$B$324&lt;&gt;"",Setup!$B$3:$B$324,"")</f>
        <v>#VALUE!</v>
      </c>
      <c r="C369" s="46" t="e">
        <f>IF(Setup!$C$3:$C$324&lt;&gt;"",Setup!$C$3:$C$324,"")</f>
        <v>#VALUE!</v>
      </c>
      <c r="D369" s="42" t="e">
        <f t="array" ref="D369">SUM(IF(B369=Setup!$B$3:$B$1022,Setup!$D$3:$D$1022))</f>
        <v>#VALUE!</v>
      </c>
      <c r="E369" s="42">
        <f>SUMIF(Sales!A:A,Stock!B369,Sales!D:D)</f>
        <v>0</v>
      </c>
      <c r="F369" s="42" t="e">
        <f t="shared" si="5"/>
        <v>#VALUE!</v>
      </c>
    </row>
    <row r="370" spans="2:6" x14ac:dyDescent="0.3">
      <c r="B370" s="42" t="e">
        <f>IF(Setup!$B$3:$B$324&lt;&gt;"",Setup!$B$3:$B$324,"")</f>
        <v>#VALUE!</v>
      </c>
      <c r="C370" s="46" t="e">
        <f>IF(Setup!$C$3:$C$324&lt;&gt;"",Setup!$C$3:$C$324,"")</f>
        <v>#VALUE!</v>
      </c>
      <c r="D370" s="42" t="e">
        <f t="array" ref="D370">SUM(IF(B370=Setup!$B$3:$B$1022,Setup!$D$3:$D$1022))</f>
        <v>#VALUE!</v>
      </c>
      <c r="E370" s="42">
        <f>SUMIF(Sales!A:A,Stock!B370,Sales!D:D)</f>
        <v>0</v>
      </c>
      <c r="F370" s="42" t="e">
        <f t="shared" si="5"/>
        <v>#VALUE!</v>
      </c>
    </row>
    <row r="371" spans="2:6" x14ac:dyDescent="0.3">
      <c r="B371" s="42" t="e">
        <f>IF(Setup!$B$3:$B$324&lt;&gt;"",Setup!$B$3:$B$324,"")</f>
        <v>#VALUE!</v>
      </c>
      <c r="C371" s="46" t="e">
        <f>IF(Setup!$C$3:$C$324&lt;&gt;"",Setup!$C$3:$C$324,"")</f>
        <v>#VALUE!</v>
      </c>
      <c r="D371" s="42" t="e">
        <f t="array" ref="D371">SUM(IF(B371=Setup!$B$3:$B$1022,Setup!$D$3:$D$1022))</f>
        <v>#VALUE!</v>
      </c>
      <c r="E371" s="42">
        <f>SUMIF(Sales!A:A,Stock!B371,Sales!D:D)</f>
        <v>0</v>
      </c>
      <c r="F371" s="42" t="e">
        <f t="shared" si="5"/>
        <v>#VALUE!</v>
      </c>
    </row>
    <row r="372" spans="2:6" x14ac:dyDescent="0.3">
      <c r="B372" s="42" t="e">
        <f>IF(Setup!$B$3:$B$324&lt;&gt;"",Setup!$B$3:$B$324,"")</f>
        <v>#VALUE!</v>
      </c>
      <c r="C372" s="46" t="e">
        <f>IF(Setup!$C$3:$C$324&lt;&gt;"",Setup!$C$3:$C$324,"")</f>
        <v>#VALUE!</v>
      </c>
      <c r="D372" s="42" t="e">
        <f t="array" ref="D372">SUM(IF(B372=Setup!$B$3:$B$1022,Setup!$D$3:$D$1022))</f>
        <v>#VALUE!</v>
      </c>
      <c r="E372" s="42">
        <f>SUMIF(Sales!A:A,Stock!B372,Sales!D:D)</f>
        <v>0</v>
      </c>
      <c r="F372" s="42" t="e">
        <f t="shared" si="5"/>
        <v>#VALUE!</v>
      </c>
    </row>
    <row r="373" spans="2:6" x14ac:dyDescent="0.3">
      <c r="B373" s="42" t="e">
        <f>IF(Setup!$B$3:$B$324&lt;&gt;"",Setup!$B$3:$B$324,"")</f>
        <v>#VALUE!</v>
      </c>
      <c r="C373" s="46" t="e">
        <f>IF(Setup!$C$3:$C$324&lt;&gt;"",Setup!$C$3:$C$324,"")</f>
        <v>#VALUE!</v>
      </c>
      <c r="D373" s="42" t="e">
        <f t="array" ref="D373">SUM(IF(B373=Setup!$B$3:$B$1022,Setup!$D$3:$D$1022))</f>
        <v>#VALUE!</v>
      </c>
      <c r="E373" s="42">
        <f>SUMIF(Sales!A:A,Stock!B373,Sales!D:D)</f>
        <v>0</v>
      </c>
      <c r="F373" s="42" t="e">
        <f t="shared" si="5"/>
        <v>#VALUE!</v>
      </c>
    </row>
    <row r="374" spans="2:6" x14ac:dyDescent="0.3">
      <c r="B374" s="42" t="e">
        <f>IF(Setup!$B$3:$B$324&lt;&gt;"",Setup!$B$3:$B$324,"")</f>
        <v>#VALUE!</v>
      </c>
      <c r="C374" s="46" t="e">
        <f>IF(Setup!$C$3:$C$324&lt;&gt;"",Setup!$C$3:$C$324,"")</f>
        <v>#VALUE!</v>
      </c>
      <c r="D374" s="42" t="e">
        <f t="array" ref="D374">SUM(IF(B374=Setup!$B$3:$B$1022,Setup!$D$3:$D$1022))</f>
        <v>#VALUE!</v>
      </c>
      <c r="E374" s="42">
        <f>SUMIF(Sales!A:A,Stock!B374,Sales!D:D)</f>
        <v>0</v>
      </c>
      <c r="F374" s="42" t="e">
        <f t="shared" si="5"/>
        <v>#VALUE!</v>
      </c>
    </row>
    <row r="375" spans="2:6" x14ac:dyDescent="0.3">
      <c r="B375" s="42" t="e">
        <f>IF(Setup!$B$3:$B$324&lt;&gt;"",Setup!$B$3:$B$324,"")</f>
        <v>#VALUE!</v>
      </c>
      <c r="C375" s="46" t="e">
        <f>IF(Setup!$C$3:$C$324&lt;&gt;"",Setup!$C$3:$C$324,"")</f>
        <v>#VALUE!</v>
      </c>
      <c r="D375" s="42" t="e">
        <f t="array" ref="D375">SUM(IF(B375=Setup!$B$3:$B$1022,Setup!$D$3:$D$1022))</f>
        <v>#VALUE!</v>
      </c>
      <c r="E375" s="42">
        <f>SUMIF(Sales!A:A,Stock!B375,Sales!D:D)</f>
        <v>0</v>
      </c>
      <c r="F375" s="42" t="e">
        <f t="shared" si="5"/>
        <v>#VALUE!</v>
      </c>
    </row>
    <row r="376" spans="2:6" x14ac:dyDescent="0.3">
      <c r="B376" s="42" t="e">
        <f>IF(Setup!$B$3:$B$324&lt;&gt;"",Setup!$B$3:$B$324,"")</f>
        <v>#VALUE!</v>
      </c>
      <c r="C376" s="46" t="e">
        <f>IF(Setup!$C$3:$C$324&lt;&gt;"",Setup!$C$3:$C$324,"")</f>
        <v>#VALUE!</v>
      </c>
      <c r="D376" s="42" t="e">
        <f t="array" ref="D376">SUM(IF(B376=Setup!$B$3:$B$1022,Setup!$D$3:$D$1022))</f>
        <v>#VALUE!</v>
      </c>
      <c r="E376" s="42">
        <f>SUMIF(Sales!A:A,Stock!B376,Sales!D:D)</f>
        <v>0</v>
      </c>
      <c r="F376" s="42" t="e">
        <f t="shared" si="5"/>
        <v>#VALUE!</v>
      </c>
    </row>
    <row r="377" spans="2:6" x14ac:dyDescent="0.3">
      <c r="B377" s="42" t="e">
        <f>IF(Setup!$B$3:$B$324&lt;&gt;"",Setup!$B$3:$B$324,"")</f>
        <v>#VALUE!</v>
      </c>
      <c r="C377" s="46" t="e">
        <f>IF(Setup!$C$3:$C$324&lt;&gt;"",Setup!$C$3:$C$324,"")</f>
        <v>#VALUE!</v>
      </c>
      <c r="D377" s="42" t="e">
        <f t="array" ref="D377">SUM(IF(B377=Setup!$B$3:$B$1022,Setup!$D$3:$D$1022))</f>
        <v>#VALUE!</v>
      </c>
      <c r="E377" s="42">
        <f>SUMIF(Sales!A:A,Stock!B377,Sales!D:D)</f>
        <v>0</v>
      </c>
      <c r="F377" s="42" t="e">
        <f t="shared" si="5"/>
        <v>#VALUE!</v>
      </c>
    </row>
    <row r="378" spans="2:6" x14ac:dyDescent="0.3">
      <c r="B378" s="42" t="e">
        <f>IF(Setup!$B$3:$B$324&lt;&gt;"",Setup!$B$3:$B$324,"")</f>
        <v>#VALUE!</v>
      </c>
      <c r="C378" s="46" t="e">
        <f>IF(Setup!$C$3:$C$324&lt;&gt;"",Setup!$C$3:$C$324,"")</f>
        <v>#VALUE!</v>
      </c>
      <c r="D378" s="42" t="e">
        <f t="array" ref="D378">SUM(IF(B378=Setup!$B$3:$B$1022,Setup!$D$3:$D$1022))</f>
        <v>#VALUE!</v>
      </c>
      <c r="E378" s="42">
        <f>SUMIF(Sales!A:A,Stock!B378,Sales!D:D)</f>
        <v>0</v>
      </c>
      <c r="F378" s="42" t="e">
        <f t="shared" si="5"/>
        <v>#VALUE!</v>
      </c>
    </row>
    <row r="379" spans="2:6" x14ac:dyDescent="0.3">
      <c r="B379" s="42" t="e">
        <f>IF(Setup!$B$3:$B$324&lt;&gt;"",Setup!$B$3:$B$324,"")</f>
        <v>#VALUE!</v>
      </c>
      <c r="C379" s="46" t="e">
        <f>IF(Setup!$C$3:$C$324&lt;&gt;"",Setup!$C$3:$C$324,"")</f>
        <v>#VALUE!</v>
      </c>
      <c r="D379" s="42" t="e">
        <f t="array" ref="D379">SUM(IF(B379=Setup!$B$3:$B$1022,Setup!$D$3:$D$1022))</f>
        <v>#VALUE!</v>
      </c>
      <c r="E379" s="42">
        <f>SUMIF(Sales!A:A,Stock!B379,Sales!D:D)</f>
        <v>0</v>
      </c>
      <c r="F379" s="42" t="e">
        <f t="shared" si="5"/>
        <v>#VALUE!</v>
      </c>
    </row>
    <row r="380" spans="2:6" x14ac:dyDescent="0.3">
      <c r="B380" s="42" t="e">
        <f>IF(Setup!$B$3:$B$324&lt;&gt;"",Setup!$B$3:$B$324,"")</f>
        <v>#VALUE!</v>
      </c>
      <c r="C380" s="46" t="e">
        <f>IF(Setup!$C$3:$C$324&lt;&gt;"",Setup!$C$3:$C$324,"")</f>
        <v>#VALUE!</v>
      </c>
      <c r="D380" s="42" t="e">
        <f t="array" ref="D380">SUM(IF(B380=Setup!$B$3:$B$1022,Setup!$D$3:$D$1022))</f>
        <v>#VALUE!</v>
      </c>
      <c r="E380" s="42">
        <f>SUMIF(Sales!A:A,Stock!B380,Sales!D:D)</f>
        <v>0</v>
      </c>
      <c r="F380" s="42" t="e">
        <f t="shared" si="5"/>
        <v>#VALUE!</v>
      </c>
    </row>
    <row r="381" spans="2:6" x14ac:dyDescent="0.3">
      <c r="B381" s="42" t="e">
        <f>IF(Setup!$B$3:$B$324&lt;&gt;"",Setup!$B$3:$B$324,"")</f>
        <v>#VALUE!</v>
      </c>
      <c r="C381" s="46" t="e">
        <f>IF(Setup!$C$3:$C$324&lt;&gt;"",Setup!$C$3:$C$324,"")</f>
        <v>#VALUE!</v>
      </c>
      <c r="D381" s="42" t="e">
        <f t="array" ref="D381">SUM(IF(B381=Setup!$B$3:$B$1022,Setup!$D$3:$D$1022))</f>
        <v>#VALUE!</v>
      </c>
      <c r="E381" s="42">
        <f>SUMIF(Sales!A:A,Stock!B381,Sales!D:D)</f>
        <v>0</v>
      </c>
      <c r="F381" s="42" t="e">
        <f t="shared" si="5"/>
        <v>#VALUE!</v>
      </c>
    </row>
    <row r="382" spans="2:6" x14ac:dyDescent="0.3">
      <c r="B382" s="42" t="e">
        <f>IF(Setup!$B$3:$B$324&lt;&gt;"",Setup!$B$3:$B$324,"")</f>
        <v>#VALUE!</v>
      </c>
      <c r="C382" s="46" t="e">
        <f>IF(Setup!$C$3:$C$324&lt;&gt;"",Setup!$C$3:$C$324,"")</f>
        <v>#VALUE!</v>
      </c>
      <c r="D382" s="42" t="e">
        <f t="array" ref="D382">SUM(IF(B382=Setup!$B$3:$B$1022,Setup!$D$3:$D$1022))</f>
        <v>#VALUE!</v>
      </c>
      <c r="E382" s="42">
        <f>SUMIF(Sales!A:A,Stock!B382,Sales!D:D)</f>
        <v>0</v>
      </c>
      <c r="F382" s="42" t="e">
        <f t="shared" si="5"/>
        <v>#VALUE!</v>
      </c>
    </row>
    <row r="383" spans="2:6" x14ac:dyDescent="0.3">
      <c r="B383" s="42" t="e">
        <f>IF(Setup!$B$3:$B$324&lt;&gt;"",Setup!$B$3:$B$324,"")</f>
        <v>#VALUE!</v>
      </c>
      <c r="C383" s="46" t="e">
        <f>IF(Setup!$C$3:$C$324&lt;&gt;"",Setup!$C$3:$C$324,"")</f>
        <v>#VALUE!</v>
      </c>
      <c r="D383" s="42" t="e">
        <f t="array" ref="D383">SUM(IF(B383=Setup!$B$3:$B$1022,Setup!$D$3:$D$1022))</f>
        <v>#VALUE!</v>
      </c>
      <c r="E383" s="42">
        <f>SUMIF(Sales!A:A,Stock!B383,Sales!D:D)</f>
        <v>0</v>
      </c>
      <c r="F383" s="42" t="e">
        <f t="shared" si="5"/>
        <v>#VALUE!</v>
      </c>
    </row>
    <row r="384" spans="2:6" x14ac:dyDescent="0.3">
      <c r="B384" s="42" t="e">
        <f>IF(Setup!$B$3:$B$324&lt;&gt;"",Setup!$B$3:$B$324,"")</f>
        <v>#VALUE!</v>
      </c>
      <c r="C384" s="46" t="e">
        <f>IF(Setup!$C$3:$C$324&lt;&gt;"",Setup!$C$3:$C$324,"")</f>
        <v>#VALUE!</v>
      </c>
      <c r="D384" s="42" t="e">
        <f t="array" ref="D384">SUM(IF(B384=Setup!$B$3:$B$1022,Setup!$D$3:$D$1022))</f>
        <v>#VALUE!</v>
      </c>
      <c r="E384" s="42">
        <f>SUMIF(Sales!A:A,Stock!B384,Sales!D:D)</f>
        <v>0</v>
      </c>
      <c r="F384" s="42" t="e">
        <f t="shared" si="5"/>
        <v>#VALUE!</v>
      </c>
    </row>
    <row r="385" spans="2:6" x14ac:dyDescent="0.3">
      <c r="B385" s="42" t="e">
        <f>IF(Setup!$B$3:$B$324&lt;&gt;"",Setup!$B$3:$B$324,"")</f>
        <v>#VALUE!</v>
      </c>
      <c r="C385" s="46" t="e">
        <f>IF(Setup!$C$3:$C$324&lt;&gt;"",Setup!$C$3:$C$324,"")</f>
        <v>#VALUE!</v>
      </c>
      <c r="D385" s="42" t="e">
        <f t="array" ref="D385">SUM(IF(B385=Setup!$B$3:$B$1022,Setup!$D$3:$D$1022))</f>
        <v>#VALUE!</v>
      </c>
      <c r="E385" s="42">
        <f>SUMIF(Sales!A:A,Stock!B385,Sales!D:D)</f>
        <v>0</v>
      </c>
      <c r="F385" s="42" t="e">
        <f t="shared" si="5"/>
        <v>#VALUE!</v>
      </c>
    </row>
    <row r="386" spans="2:6" x14ac:dyDescent="0.3">
      <c r="B386" s="42" t="e">
        <f>IF(Setup!$B$3:$B$324&lt;&gt;"",Setup!$B$3:$B$324,"")</f>
        <v>#VALUE!</v>
      </c>
      <c r="C386" s="46" t="e">
        <f>IF(Setup!$C$3:$C$324&lt;&gt;"",Setup!$C$3:$C$324,"")</f>
        <v>#VALUE!</v>
      </c>
      <c r="D386" s="42" t="e">
        <f t="array" ref="D386">SUM(IF(B386=Setup!$B$3:$B$1022,Setup!$D$3:$D$1022))</f>
        <v>#VALUE!</v>
      </c>
      <c r="E386" s="42">
        <f>SUMIF(Sales!A:A,Stock!B386,Sales!D:D)</f>
        <v>0</v>
      </c>
      <c r="F386" s="42" t="e">
        <f t="shared" si="5"/>
        <v>#VALUE!</v>
      </c>
    </row>
    <row r="387" spans="2:6" x14ac:dyDescent="0.3">
      <c r="B387" s="42" t="e">
        <f>IF(Setup!$B$3:$B$324&lt;&gt;"",Setup!$B$3:$B$324,"")</f>
        <v>#VALUE!</v>
      </c>
      <c r="C387" s="46" t="e">
        <f>IF(Setup!$C$3:$C$324&lt;&gt;"",Setup!$C$3:$C$324,"")</f>
        <v>#VALUE!</v>
      </c>
      <c r="D387" s="42" t="e">
        <f t="array" ref="D387">SUM(IF(B387=Setup!$B$3:$B$1022,Setup!$D$3:$D$1022))</f>
        <v>#VALUE!</v>
      </c>
      <c r="E387" s="42">
        <f>SUMIF(Sales!A:A,Stock!B387,Sales!D:D)</f>
        <v>0</v>
      </c>
      <c r="F387" s="42" t="e">
        <f t="shared" ref="F387:F426" si="6">+D387-E387</f>
        <v>#VALUE!</v>
      </c>
    </row>
    <row r="388" spans="2:6" x14ac:dyDescent="0.3">
      <c r="B388" s="42" t="e">
        <f>IF(Setup!$B$3:$B$324&lt;&gt;"",Setup!$B$3:$B$324,"")</f>
        <v>#VALUE!</v>
      </c>
      <c r="C388" s="46" t="e">
        <f>IF(Setup!$C$3:$C$324&lt;&gt;"",Setup!$C$3:$C$324,"")</f>
        <v>#VALUE!</v>
      </c>
      <c r="D388" s="42" t="e">
        <f t="array" ref="D388">SUM(IF(B388=Setup!$B$3:$B$1022,Setup!$D$3:$D$1022))</f>
        <v>#VALUE!</v>
      </c>
      <c r="E388" s="42">
        <f>SUMIF(Sales!A:A,Stock!B388,Sales!D:D)</f>
        <v>0</v>
      </c>
      <c r="F388" s="42" t="e">
        <f t="shared" si="6"/>
        <v>#VALUE!</v>
      </c>
    </row>
    <row r="389" spans="2:6" x14ac:dyDescent="0.3">
      <c r="B389" s="42" t="e">
        <f>IF(Setup!$B$3:$B$324&lt;&gt;"",Setup!$B$3:$B$324,"")</f>
        <v>#VALUE!</v>
      </c>
      <c r="C389" s="46" t="e">
        <f>IF(Setup!$C$3:$C$324&lt;&gt;"",Setup!$C$3:$C$324,"")</f>
        <v>#VALUE!</v>
      </c>
      <c r="D389" s="42" t="e">
        <f t="array" ref="D389">SUM(IF(B389=Setup!$B$3:$B$1022,Setup!$D$3:$D$1022))</f>
        <v>#VALUE!</v>
      </c>
      <c r="E389" s="42">
        <f>SUMIF(Sales!A:A,Stock!B389,Sales!D:D)</f>
        <v>0</v>
      </c>
      <c r="F389" s="42" t="e">
        <f t="shared" si="6"/>
        <v>#VALUE!</v>
      </c>
    </row>
    <row r="390" spans="2:6" x14ac:dyDescent="0.3">
      <c r="B390" s="42" t="e">
        <f>IF(Setup!$B$3:$B$324&lt;&gt;"",Setup!$B$3:$B$324,"")</f>
        <v>#VALUE!</v>
      </c>
      <c r="C390" s="46" t="e">
        <f>IF(Setup!$C$3:$C$324&lt;&gt;"",Setup!$C$3:$C$324,"")</f>
        <v>#VALUE!</v>
      </c>
      <c r="D390" s="42" t="e">
        <f t="array" ref="D390">SUM(IF(B390=Setup!$B$3:$B$1022,Setup!$D$3:$D$1022))</f>
        <v>#VALUE!</v>
      </c>
      <c r="E390" s="42">
        <f>SUMIF(Sales!A:A,Stock!B390,Sales!D:D)</f>
        <v>0</v>
      </c>
      <c r="F390" s="42" t="e">
        <f t="shared" si="6"/>
        <v>#VALUE!</v>
      </c>
    </row>
    <row r="391" spans="2:6" x14ac:dyDescent="0.3">
      <c r="B391" s="42" t="e">
        <f>IF(Setup!$B$3:$B$324&lt;&gt;"",Setup!$B$3:$B$324,"")</f>
        <v>#VALUE!</v>
      </c>
      <c r="C391" s="46" t="e">
        <f>IF(Setup!$C$3:$C$324&lt;&gt;"",Setup!$C$3:$C$324,"")</f>
        <v>#VALUE!</v>
      </c>
      <c r="D391" s="42" t="e">
        <f t="array" ref="D391">SUM(IF(B391=Setup!$B$3:$B$1022,Setup!$D$3:$D$1022))</f>
        <v>#VALUE!</v>
      </c>
      <c r="E391" s="42">
        <f>SUMIF(Sales!A:A,Stock!B391,Sales!D:D)</f>
        <v>0</v>
      </c>
      <c r="F391" s="42" t="e">
        <f t="shared" si="6"/>
        <v>#VALUE!</v>
      </c>
    </row>
    <row r="392" spans="2:6" x14ac:dyDescent="0.3">
      <c r="B392" s="42" t="e">
        <f>IF(Setup!$B$3:$B$324&lt;&gt;"",Setup!$B$3:$B$324,"")</f>
        <v>#VALUE!</v>
      </c>
      <c r="C392" s="46" t="e">
        <f>IF(Setup!$C$3:$C$324&lt;&gt;"",Setup!$C$3:$C$324,"")</f>
        <v>#VALUE!</v>
      </c>
      <c r="D392" s="42" t="e">
        <f t="array" ref="D392">SUM(IF(B392=Setup!$B$3:$B$1022,Setup!$D$3:$D$1022))</f>
        <v>#VALUE!</v>
      </c>
      <c r="E392" s="42">
        <f>SUMIF(Sales!A:A,Stock!B392,Sales!D:D)</f>
        <v>0</v>
      </c>
      <c r="F392" s="42" t="e">
        <f t="shared" si="6"/>
        <v>#VALUE!</v>
      </c>
    </row>
    <row r="393" spans="2:6" x14ac:dyDescent="0.3">
      <c r="B393" s="42" t="e">
        <f>IF(Setup!$B$3:$B$324&lt;&gt;"",Setup!$B$3:$B$324,"")</f>
        <v>#VALUE!</v>
      </c>
      <c r="C393" s="46" t="e">
        <f>IF(Setup!$C$3:$C$324&lt;&gt;"",Setup!$C$3:$C$324,"")</f>
        <v>#VALUE!</v>
      </c>
      <c r="D393" s="42" t="e">
        <f t="array" ref="D393">SUM(IF(B393=Setup!$B$3:$B$1022,Setup!$D$3:$D$1022))</f>
        <v>#VALUE!</v>
      </c>
      <c r="E393" s="42">
        <f>SUMIF(Sales!A:A,Stock!B393,Sales!D:D)</f>
        <v>0</v>
      </c>
      <c r="F393" s="42" t="e">
        <f t="shared" si="6"/>
        <v>#VALUE!</v>
      </c>
    </row>
    <row r="394" spans="2:6" x14ac:dyDescent="0.3">
      <c r="B394" s="42" t="e">
        <f>IF(Setup!$B$3:$B$324&lt;&gt;"",Setup!$B$3:$B$324,"")</f>
        <v>#VALUE!</v>
      </c>
      <c r="C394" s="46" t="e">
        <f>IF(Setup!$C$3:$C$324&lt;&gt;"",Setup!$C$3:$C$324,"")</f>
        <v>#VALUE!</v>
      </c>
      <c r="D394" s="42" t="e">
        <f t="array" ref="D394">SUM(IF(B394=Setup!$B$3:$B$1022,Setup!$D$3:$D$1022))</f>
        <v>#VALUE!</v>
      </c>
      <c r="E394" s="42">
        <f>SUMIF(Sales!A:A,Stock!B394,Sales!D:D)</f>
        <v>0</v>
      </c>
      <c r="F394" s="42" t="e">
        <f t="shared" si="6"/>
        <v>#VALUE!</v>
      </c>
    </row>
    <row r="395" spans="2:6" x14ac:dyDescent="0.3">
      <c r="B395" s="42" t="e">
        <f>IF(Setup!$B$3:$B$324&lt;&gt;"",Setup!$B$3:$B$324,"")</f>
        <v>#VALUE!</v>
      </c>
      <c r="C395" s="46" t="e">
        <f>IF(Setup!$C$3:$C$324&lt;&gt;"",Setup!$C$3:$C$324,"")</f>
        <v>#VALUE!</v>
      </c>
      <c r="D395" s="42" t="e">
        <f t="array" ref="D395">SUM(IF(B395=Setup!$B$3:$B$1022,Setup!$D$3:$D$1022))</f>
        <v>#VALUE!</v>
      </c>
      <c r="E395" s="42">
        <f>SUMIF(Sales!A:A,Stock!B395,Sales!D:D)</f>
        <v>0</v>
      </c>
      <c r="F395" s="42" t="e">
        <f t="shared" si="6"/>
        <v>#VALUE!</v>
      </c>
    </row>
    <row r="396" spans="2:6" x14ac:dyDescent="0.3">
      <c r="B396" s="42" t="e">
        <f>IF(Setup!$B$3:$B$324&lt;&gt;"",Setup!$B$3:$B$324,"")</f>
        <v>#VALUE!</v>
      </c>
      <c r="C396" s="46" t="e">
        <f>IF(Setup!$C$3:$C$324&lt;&gt;"",Setup!$C$3:$C$324,"")</f>
        <v>#VALUE!</v>
      </c>
      <c r="D396" s="42" t="e">
        <f t="array" ref="D396">SUM(IF(B396=Setup!$B$3:$B$1022,Setup!$D$3:$D$1022))</f>
        <v>#VALUE!</v>
      </c>
      <c r="E396" s="42">
        <f>SUMIF(Sales!A:A,Stock!B396,Sales!D:D)</f>
        <v>0</v>
      </c>
      <c r="F396" s="42" t="e">
        <f t="shared" si="6"/>
        <v>#VALUE!</v>
      </c>
    </row>
    <row r="397" spans="2:6" x14ac:dyDescent="0.3">
      <c r="B397" s="42" t="e">
        <f>IF(Setup!$B$3:$B$324&lt;&gt;"",Setup!$B$3:$B$324,"")</f>
        <v>#VALUE!</v>
      </c>
      <c r="C397" s="46" t="e">
        <f>IF(Setup!$C$3:$C$324&lt;&gt;"",Setup!$C$3:$C$324,"")</f>
        <v>#VALUE!</v>
      </c>
      <c r="D397" s="42" t="e">
        <f t="array" ref="D397">SUM(IF(B397=Setup!$B$3:$B$1022,Setup!$D$3:$D$1022))</f>
        <v>#VALUE!</v>
      </c>
      <c r="E397" s="42">
        <f>SUMIF(Sales!A:A,Stock!B397,Sales!D:D)</f>
        <v>0</v>
      </c>
      <c r="F397" s="42" t="e">
        <f t="shared" si="6"/>
        <v>#VALUE!</v>
      </c>
    </row>
    <row r="398" spans="2:6" x14ac:dyDescent="0.3">
      <c r="B398" s="42" t="e">
        <f>IF(Setup!$B$3:$B$324&lt;&gt;"",Setup!$B$3:$B$324,"")</f>
        <v>#VALUE!</v>
      </c>
      <c r="C398" s="46" t="e">
        <f>IF(Setup!$C$3:$C$324&lt;&gt;"",Setup!$C$3:$C$324,"")</f>
        <v>#VALUE!</v>
      </c>
      <c r="D398" s="42" t="e">
        <f t="array" ref="D398">SUM(IF(B398=Setup!$B$3:$B$1022,Setup!$D$3:$D$1022))</f>
        <v>#VALUE!</v>
      </c>
      <c r="E398" s="42">
        <f>SUMIF(Sales!A:A,Stock!B398,Sales!D:D)</f>
        <v>0</v>
      </c>
      <c r="F398" s="42" t="e">
        <f t="shared" si="6"/>
        <v>#VALUE!</v>
      </c>
    </row>
    <row r="399" spans="2:6" x14ac:dyDescent="0.3">
      <c r="B399" s="42" t="e">
        <f>IF(Setup!$B$3:$B$324&lt;&gt;"",Setup!$B$3:$B$324,"")</f>
        <v>#VALUE!</v>
      </c>
      <c r="C399" s="46" t="e">
        <f>IF(Setup!$C$3:$C$324&lt;&gt;"",Setup!$C$3:$C$324,"")</f>
        <v>#VALUE!</v>
      </c>
      <c r="D399" s="42" t="e">
        <f t="array" ref="D399">SUM(IF(B399=Setup!$B$3:$B$1022,Setup!$D$3:$D$1022))</f>
        <v>#VALUE!</v>
      </c>
      <c r="E399" s="42">
        <f>SUMIF(Sales!A:A,Stock!B399,Sales!D:D)</f>
        <v>0</v>
      </c>
      <c r="F399" s="42" t="e">
        <f t="shared" si="6"/>
        <v>#VALUE!</v>
      </c>
    </row>
    <row r="400" spans="2:6" x14ac:dyDescent="0.3">
      <c r="B400" s="42" t="e">
        <f>IF(Setup!$B$3:$B$324&lt;&gt;"",Setup!$B$3:$B$324,"")</f>
        <v>#VALUE!</v>
      </c>
      <c r="C400" s="46" t="e">
        <f>IF(Setup!$C$3:$C$324&lt;&gt;"",Setup!$C$3:$C$324,"")</f>
        <v>#VALUE!</v>
      </c>
      <c r="D400" s="42" t="e">
        <f t="array" ref="D400">SUM(IF(B400=Setup!$B$3:$B$1022,Setup!$D$3:$D$1022))</f>
        <v>#VALUE!</v>
      </c>
      <c r="E400" s="42">
        <f>SUMIF(Sales!A:A,Stock!B400,Sales!D:D)</f>
        <v>0</v>
      </c>
      <c r="F400" s="42" t="e">
        <f t="shared" si="6"/>
        <v>#VALUE!</v>
      </c>
    </row>
    <row r="401" spans="2:6" x14ac:dyDescent="0.3">
      <c r="B401" s="42" t="e">
        <f>IF(Setup!$B$3:$B$324&lt;&gt;"",Setup!$B$3:$B$324,"")</f>
        <v>#VALUE!</v>
      </c>
      <c r="C401" s="46" t="e">
        <f>IF(Setup!$C$3:$C$324&lt;&gt;"",Setup!$C$3:$C$324,"")</f>
        <v>#VALUE!</v>
      </c>
      <c r="D401" s="42" t="e">
        <f t="array" ref="D401">SUM(IF(B401=Setup!$B$3:$B$1022,Setup!$D$3:$D$1022))</f>
        <v>#VALUE!</v>
      </c>
      <c r="E401" s="42">
        <f>SUMIF(Sales!A:A,Stock!B401,Sales!D:D)</f>
        <v>0</v>
      </c>
      <c r="F401" s="42" t="e">
        <f t="shared" si="6"/>
        <v>#VALUE!</v>
      </c>
    </row>
    <row r="402" spans="2:6" x14ac:dyDescent="0.3">
      <c r="B402" s="42" t="e">
        <f>IF(Setup!$B$3:$B$324&lt;&gt;"",Setup!$B$3:$B$324,"")</f>
        <v>#VALUE!</v>
      </c>
      <c r="C402" s="46" t="e">
        <f>IF(Setup!$C$3:$C$324&lt;&gt;"",Setup!$C$3:$C$324,"")</f>
        <v>#VALUE!</v>
      </c>
      <c r="D402" s="42" t="e">
        <f t="array" ref="D402">SUM(IF(B402=Setup!$B$3:$B$1022,Setup!$D$3:$D$1022))</f>
        <v>#VALUE!</v>
      </c>
      <c r="E402" s="42">
        <f>SUMIF(Sales!A:A,Stock!B402,Sales!D:D)</f>
        <v>0</v>
      </c>
      <c r="F402" s="42" t="e">
        <f t="shared" si="6"/>
        <v>#VALUE!</v>
      </c>
    </row>
    <row r="403" spans="2:6" x14ac:dyDescent="0.3">
      <c r="B403" s="42" t="e">
        <f>IF(Setup!$B$3:$B$324&lt;&gt;"",Setup!$B$3:$B$324,"")</f>
        <v>#VALUE!</v>
      </c>
      <c r="C403" s="46" t="e">
        <f>IF(Setup!$C$3:$C$324&lt;&gt;"",Setup!$C$3:$C$324,"")</f>
        <v>#VALUE!</v>
      </c>
      <c r="D403" s="42" t="e">
        <f t="array" ref="D403">SUM(IF(B403=Setup!$B$3:$B$1022,Setup!$D$3:$D$1022))</f>
        <v>#VALUE!</v>
      </c>
      <c r="E403" s="42">
        <f>SUMIF(Sales!A:A,Stock!B403,Sales!D:D)</f>
        <v>0</v>
      </c>
      <c r="F403" s="42" t="e">
        <f t="shared" si="6"/>
        <v>#VALUE!</v>
      </c>
    </row>
    <row r="404" spans="2:6" x14ac:dyDescent="0.3">
      <c r="B404" s="42" t="e">
        <f>IF(Setup!$B$3:$B$324&lt;&gt;"",Setup!$B$3:$B$324,"")</f>
        <v>#VALUE!</v>
      </c>
      <c r="C404" s="46" t="e">
        <f>IF(Setup!$C$3:$C$324&lt;&gt;"",Setup!$C$3:$C$324,"")</f>
        <v>#VALUE!</v>
      </c>
      <c r="D404" s="42" t="e">
        <f t="array" ref="D404">SUM(IF(B404=Setup!$B$3:$B$1022,Setup!$D$3:$D$1022))</f>
        <v>#VALUE!</v>
      </c>
      <c r="E404" s="42">
        <f>SUMIF(Sales!A:A,Stock!B404,Sales!D:D)</f>
        <v>0</v>
      </c>
      <c r="F404" s="42" t="e">
        <f t="shared" si="6"/>
        <v>#VALUE!</v>
      </c>
    </row>
    <row r="405" spans="2:6" x14ac:dyDescent="0.3">
      <c r="B405" s="42" t="e">
        <f>IF(Setup!$B$3:$B$324&lt;&gt;"",Setup!$B$3:$B$324,"")</f>
        <v>#VALUE!</v>
      </c>
      <c r="C405" s="46" t="e">
        <f>IF(Setup!$C$3:$C$324&lt;&gt;"",Setup!$C$3:$C$324,"")</f>
        <v>#VALUE!</v>
      </c>
      <c r="D405" s="42" t="e">
        <f t="array" ref="D405">SUM(IF(B405=Setup!$B$3:$B$1022,Setup!$D$3:$D$1022))</f>
        <v>#VALUE!</v>
      </c>
      <c r="E405" s="42">
        <f>SUMIF(Sales!A:A,Stock!B405,Sales!D:D)</f>
        <v>0</v>
      </c>
      <c r="F405" s="42" t="e">
        <f t="shared" si="6"/>
        <v>#VALUE!</v>
      </c>
    </row>
    <row r="406" spans="2:6" x14ac:dyDescent="0.3">
      <c r="B406" s="42" t="e">
        <f>IF(Setup!$B$3:$B$324&lt;&gt;"",Setup!$B$3:$B$324,"")</f>
        <v>#VALUE!</v>
      </c>
      <c r="C406" s="46" t="e">
        <f>IF(Setup!$C$3:$C$324&lt;&gt;"",Setup!$C$3:$C$324,"")</f>
        <v>#VALUE!</v>
      </c>
      <c r="D406" s="42" t="e">
        <f t="array" ref="D406">SUM(IF(B406=Setup!$B$3:$B$1022,Setup!$D$3:$D$1022))</f>
        <v>#VALUE!</v>
      </c>
      <c r="E406" s="42">
        <f>SUMIF(Sales!A:A,Stock!B406,Sales!D:D)</f>
        <v>0</v>
      </c>
      <c r="F406" s="42" t="e">
        <f t="shared" si="6"/>
        <v>#VALUE!</v>
      </c>
    </row>
    <row r="407" spans="2:6" x14ac:dyDescent="0.3">
      <c r="B407" s="42" t="e">
        <f>IF(Setup!$B$3:$B$324&lt;&gt;"",Setup!$B$3:$B$324,"")</f>
        <v>#VALUE!</v>
      </c>
      <c r="C407" s="46" t="e">
        <f>IF(Setup!$C$3:$C$324&lt;&gt;"",Setup!$C$3:$C$324,"")</f>
        <v>#VALUE!</v>
      </c>
      <c r="D407" s="42" t="e">
        <f t="array" ref="D407">SUM(IF(B407=Setup!$B$3:$B$1022,Setup!$D$3:$D$1022))</f>
        <v>#VALUE!</v>
      </c>
      <c r="E407" s="42">
        <f>SUMIF(Sales!A:A,Stock!B407,Sales!D:D)</f>
        <v>0</v>
      </c>
      <c r="F407" s="42" t="e">
        <f t="shared" si="6"/>
        <v>#VALUE!</v>
      </c>
    </row>
    <row r="408" spans="2:6" x14ac:dyDescent="0.3">
      <c r="B408" s="42" t="e">
        <f>IF(Setup!$B$3:$B$324&lt;&gt;"",Setup!$B$3:$B$324,"")</f>
        <v>#VALUE!</v>
      </c>
      <c r="C408" s="46" t="e">
        <f>IF(Setup!$C$3:$C$324&lt;&gt;"",Setup!$C$3:$C$324,"")</f>
        <v>#VALUE!</v>
      </c>
      <c r="D408" s="42" t="e">
        <f t="array" ref="D408">SUM(IF(B408=Setup!$B$3:$B$1022,Setup!$D$3:$D$1022))</f>
        <v>#VALUE!</v>
      </c>
      <c r="E408" s="42">
        <f>SUMIF(Sales!A:A,Stock!B408,Sales!D:D)</f>
        <v>0</v>
      </c>
      <c r="F408" s="42" t="e">
        <f t="shared" si="6"/>
        <v>#VALUE!</v>
      </c>
    </row>
    <row r="409" spans="2:6" x14ac:dyDescent="0.3">
      <c r="B409" s="42" t="e">
        <f>IF(Setup!$B$3:$B$324&lt;&gt;"",Setup!$B$3:$B$324,"")</f>
        <v>#VALUE!</v>
      </c>
      <c r="C409" s="46" t="e">
        <f>IF(Setup!$C$3:$C$324&lt;&gt;"",Setup!$C$3:$C$324,"")</f>
        <v>#VALUE!</v>
      </c>
      <c r="D409" s="42" t="e">
        <f t="array" ref="D409">SUM(IF(B409=Setup!$B$3:$B$1022,Setup!$D$3:$D$1022))</f>
        <v>#VALUE!</v>
      </c>
      <c r="E409" s="42">
        <f>SUMIF(Sales!A:A,Stock!B409,Sales!D:D)</f>
        <v>0</v>
      </c>
      <c r="F409" s="42" t="e">
        <f t="shared" si="6"/>
        <v>#VALUE!</v>
      </c>
    </row>
    <row r="410" spans="2:6" x14ac:dyDescent="0.3">
      <c r="B410" s="42" t="e">
        <f>IF(Setup!$B$3:$B$324&lt;&gt;"",Setup!$B$3:$B$324,"")</f>
        <v>#VALUE!</v>
      </c>
      <c r="C410" s="46" t="e">
        <f>IF(Setup!$C$3:$C$324&lt;&gt;"",Setup!$C$3:$C$324,"")</f>
        <v>#VALUE!</v>
      </c>
      <c r="D410" s="42" t="e">
        <f t="array" ref="D410">SUM(IF(B410=Setup!$B$3:$B$1022,Setup!$D$3:$D$1022))</f>
        <v>#VALUE!</v>
      </c>
      <c r="E410" s="42">
        <f>SUMIF(Sales!A:A,Stock!B410,Sales!D:D)</f>
        <v>0</v>
      </c>
      <c r="F410" s="42" t="e">
        <f t="shared" si="6"/>
        <v>#VALUE!</v>
      </c>
    </row>
    <row r="411" spans="2:6" x14ac:dyDescent="0.3">
      <c r="B411" s="42" t="e">
        <f>IF(Setup!$B$3:$B$324&lt;&gt;"",Setup!$B$3:$B$324,"")</f>
        <v>#VALUE!</v>
      </c>
      <c r="C411" s="46" t="e">
        <f>IF(Setup!$C$3:$C$324&lt;&gt;"",Setup!$C$3:$C$324,"")</f>
        <v>#VALUE!</v>
      </c>
      <c r="D411" s="42" t="e">
        <f t="array" ref="D411">SUM(IF(B411=Setup!$B$3:$B$1022,Setup!$D$3:$D$1022))</f>
        <v>#VALUE!</v>
      </c>
      <c r="E411" s="42">
        <f>SUMIF(Sales!A:A,Stock!B411,Sales!D:D)</f>
        <v>0</v>
      </c>
      <c r="F411" s="42" t="e">
        <f t="shared" si="6"/>
        <v>#VALUE!</v>
      </c>
    </row>
    <row r="412" spans="2:6" x14ac:dyDescent="0.3">
      <c r="B412" s="42" t="e">
        <f>IF(Setup!$B$3:$B$324&lt;&gt;"",Setup!$B$3:$B$324,"")</f>
        <v>#VALUE!</v>
      </c>
      <c r="C412" s="46" t="e">
        <f>IF(Setup!$C$3:$C$324&lt;&gt;"",Setup!$C$3:$C$324,"")</f>
        <v>#VALUE!</v>
      </c>
      <c r="D412" s="42" t="e">
        <f t="array" ref="D412">SUM(IF(B412=Setup!$B$3:$B$1022,Setup!$D$3:$D$1022))</f>
        <v>#VALUE!</v>
      </c>
      <c r="E412" s="42">
        <f>SUMIF(Sales!A:A,Stock!B412,Sales!D:D)</f>
        <v>0</v>
      </c>
      <c r="F412" s="42" t="e">
        <f t="shared" si="6"/>
        <v>#VALUE!</v>
      </c>
    </row>
    <row r="413" spans="2:6" x14ac:dyDescent="0.3">
      <c r="B413" s="42" t="e">
        <f>IF(Setup!$B$3:$B$324&lt;&gt;"",Setup!$B$3:$B$324,"")</f>
        <v>#VALUE!</v>
      </c>
      <c r="C413" s="46" t="e">
        <f>IF(Setup!$C$3:$C$324&lt;&gt;"",Setup!$C$3:$C$324,"")</f>
        <v>#VALUE!</v>
      </c>
      <c r="D413" s="42" t="e">
        <f t="array" ref="D413">SUM(IF(B413=Setup!$B$3:$B$1022,Setup!$D$3:$D$1022))</f>
        <v>#VALUE!</v>
      </c>
      <c r="E413" s="42">
        <f>SUMIF(Sales!A:A,Stock!B413,Sales!D:D)</f>
        <v>0</v>
      </c>
      <c r="F413" s="42" t="e">
        <f t="shared" si="6"/>
        <v>#VALUE!</v>
      </c>
    </row>
    <row r="414" spans="2:6" x14ac:dyDescent="0.3">
      <c r="B414" s="42" t="e">
        <f>IF(Setup!$B$3:$B$324&lt;&gt;"",Setup!$B$3:$B$324,"")</f>
        <v>#VALUE!</v>
      </c>
      <c r="C414" s="46" t="e">
        <f>IF(Setup!$C$3:$C$324&lt;&gt;"",Setup!$C$3:$C$324,"")</f>
        <v>#VALUE!</v>
      </c>
      <c r="D414" s="42" t="e">
        <f t="array" ref="D414">SUM(IF(B414=Setup!$B$3:$B$1022,Setup!$D$3:$D$1022))</f>
        <v>#VALUE!</v>
      </c>
      <c r="E414" s="42">
        <f>SUMIF(Sales!A:A,Stock!B414,Sales!D:D)</f>
        <v>0</v>
      </c>
      <c r="F414" s="42" t="e">
        <f t="shared" si="6"/>
        <v>#VALUE!</v>
      </c>
    </row>
    <row r="415" spans="2:6" x14ac:dyDescent="0.3">
      <c r="B415" s="42" t="e">
        <f>IF(Setup!$B$3:$B$324&lt;&gt;"",Setup!$B$3:$B$324,"")</f>
        <v>#VALUE!</v>
      </c>
      <c r="C415" s="46" t="e">
        <f>IF(Setup!$C$3:$C$324&lt;&gt;"",Setup!$C$3:$C$324,"")</f>
        <v>#VALUE!</v>
      </c>
      <c r="D415" s="42" t="e">
        <f t="array" ref="D415">SUM(IF(B415=Setup!$B$3:$B$1022,Setup!$D$3:$D$1022))</f>
        <v>#VALUE!</v>
      </c>
      <c r="E415" s="42">
        <f>SUMIF(Sales!A:A,Stock!B415,Sales!D:D)</f>
        <v>0</v>
      </c>
      <c r="F415" s="42" t="e">
        <f t="shared" si="6"/>
        <v>#VALUE!</v>
      </c>
    </row>
    <row r="416" spans="2:6" x14ac:dyDescent="0.3">
      <c r="B416" s="42" t="e">
        <f>IF(Setup!$B$3:$B$324&lt;&gt;"",Setup!$B$3:$B$324,"")</f>
        <v>#VALUE!</v>
      </c>
      <c r="C416" s="46" t="e">
        <f>IF(Setup!$C$3:$C$324&lt;&gt;"",Setup!$C$3:$C$324,"")</f>
        <v>#VALUE!</v>
      </c>
      <c r="D416" s="42" t="e">
        <f t="array" ref="D416">SUM(IF(B416=Setup!$B$3:$B$1022,Setup!$D$3:$D$1022))</f>
        <v>#VALUE!</v>
      </c>
      <c r="E416" s="42">
        <f>SUMIF(Sales!A:A,Stock!B416,Sales!D:D)</f>
        <v>0</v>
      </c>
      <c r="F416" s="42" t="e">
        <f t="shared" si="6"/>
        <v>#VALUE!</v>
      </c>
    </row>
    <row r="417" spans="2:6" x14ac:dyDescent="0.3">
      <c r="B417" s="42" t="e">
        <f>IF(Setup!$B$3:$B$324&lt;&gt;"",Setup!$B$3:$B$324,"")</f>
        <v>#VALUE!</v>
      </c>
      <c r="C417" s="46" t="e">
        <f>IF(Setup!$C$3:$C$324&lt;&gt;"",Setup!$C$3:$C$324,"")</f>
        <v>#VALUE!</v>
      </c>
      <c r="D417" s="42" t="e">
        <f t="array" ref="D417">SUM(IF(B417=Setup!$B$3:$B$1022,Setup!$D$3:$D$1022))</f>
        <v>#VALUE!</v>
      </c>
      <c r="E417" s="42">
        <f>SUMIF(Sales!A:A,Stock!B417,Sales!D:D)</f>
        <v>0</v>
      </c>
      <c r="F417" s="42" t="e">
        <f t="shared" si="6"/>
        <v>#VALUE!</v>
      </c>
    </row>
    <row r="418" spans="2:6" x14ac:dyDescent="0.3">
      <c r="B418" s="42" t="e">
        <f>IF(Setup!$B$3:$B$324&lt;&gt;"",Setup!$B$3:$B$324,"")</f>
        <v>#VALUE!</v>
      </c>
      <c r="C418" s="46" t="e">
        <f>IF(Setup!$C$3:$C$324&lt;&gt;"",Setup!$C$3:$C$324,"")</f>
        <v>#VALUE!</v>
      </c>
      <c r="D418" s="42" t="e">
        <f t="array" ref="D418">SUM(IF(B418=Setup!$B$3:$B$1022,Setup!$D$3:$D$1022))</f>
        <v>#VALUE!</v>
      </c>
      <c r="E418" s="42">
        <f>SUMIF(Sales!A:A,Stock!B418,Sales!D:D)</f>
        <v>0</v>
      </c>
      <c r="F418" s="42" t="e">
        <f t="shared" si="6"/>
        <v>#VALUE!</v>
      </c>
    </row>
    <row r="419" spans="2:6" x14ac:dyDescent="0.3">
      <c r="B419" s="42" t="e">
        <f>IF(Setup!$B$3:$B$324&lt;&gt;"",Setup!$B$3:$B$324,"")</f>
        <v>#VALUE!</v>
      </c>
      <c r="C419" s="46" t="e">
        <f>IF(Setup!$C$3:$C$324&lt;&gt;"",Setup!$C$3:$C$324,"")</f>
        <v>#VALUE!</v>
      </c>
      <c r="D419" s="42" t="e">
        <f t="array" ref="D419">SUM(IF(B419=Setup!$B$3:$B$1022,Setup!$D$3:$D$1022))</f>
        <v>#VALUE!</v>
      </c>
      <c r="E419" s="42">
        <f>SUMIF(Sales!A:A,Stock!B419,Sales!D:D)</f>
        <v>0</v>
      </c>
      <c r="F419" s="42" t="e">
        <f t="shared" si="6"/>
        <v>#VALUE!</v>
      </c>
    </row>
    <row r="420" spans="2:6" x14ac:dyDescent="0.3">
      <c r="B420" s="42" t="e">
        <f>IF(Setup!$B$3:$B$324&lt;&gt;"",Setup!$B$3:$B$324,"")</f>
        <v>#VALUE!</v>
      </c>
      <c r="C420" s="46" t="e">
        <f>IF(Setup!$C$3:$C$324&lt;&gt;"",Setup!$C$3:$C$324,"")</f>
        <v>#VALUE!</v>
      </c>
      <c r="D420" s="42" t="e">
        <f t="array" ref="D420">SUM(IF(B420=Setup!$B$3:$B$1022,Setup!$D$3:$D$1022))</f>
        <v>#VALUE!</v>
      </c>
      <c r="E420" s="42">
        <f>SUMIF(Sales!A:A,Stock!B420,Sales!D:D)</f>
        <v>0</v>
      </c>
      <c r="F420" s="42" t="e">
        <f t="shared" si="6"/>
        <v>#VALUE!</v>
      </c>
    </row>
    <row r="421" spans="2:6" x14ac:dyDescent="0.3">
      <c r="B421" s="42" t="e">
        <f>IF(Setup!$B$3:$B$324&lt;&gt;"",Setup!$B$3:$B$324,"")</f>
        <v>#VALUE!</v>
      </c>
      <c r="C421" s="46" t="e">
        <f>IF(Setup!$C$3:$C$324&lt;&gt;"",Setup!$C$3:$C$324,"")</f>
        <v>#VALUE!</v>
      </c>
      <c r="D421" s="42" t="e">
        <f t="array" ref="D421">SUM(IF(B421=Setup!$B$3:$B$1022,Setup!$D$3:$D$1022))</f>
        <v>#VALUE!</v>
      </c>
      <c r="E421" s="42">
        <f>SUMIF(Sales!A:A,Stock!B421,Sales!D:D)</f>
        <v>0</v>
      </c>
      <c r="F421" s="42" t="e">
        <f t="shared" si="6"/>
        <v>#VALUE!</v>
      </c>
    </row>
    <row r="422" spans="2:6" x14ac:dyDescent="0.3">
      <c r="B422" s="42" t="e">
        <f>IF(Setup!$B$3:$B$324&lt;&gt;"",Setup!$B$3:$B$324,"")</f>
        <v>#VALUE!</v>
      </c>
      <c r="C422" s="46" t="e">
        <f>IF(Setup!$C$3:$C$324&lt;&gt;"",Setup!$C$3:$C$324,"")</f>
        <v>#VALUE!</v>
      </c>
      <c r="D422" s="42" t="e">
        <f t="array" ref="D422">SUM(IF(B422=Setup!$B$3:$B$1022,Setup!$D$3:$D$1022))</f>
        <v>#VALUE!</v>
      </c>
      <c r="E422" s="42">
        <f>SUMIF(Sales!A:A,Stock!B422,Sales!D:D)</f>
        <v>0</v>
      </c>
      <c r="F422" s="42" t="e">
        <f t="shared" si="6"/>
        <v>#VALUE!</v>
      </c>
    </row>
    <row r="423" spans="2:6" x14ac:dyDescent="0.3">
      <c r="B423" s="42" t="e">
        <f>IF(Setup!$B$3:$B$324&lt;&gt;"",Setup!$B$3:$B$324,"")</f>
        <v>#VALUE!</v>
      </c>
      <c r="C423" s="46" t="e">
        <f>IF(Setup!$C$3:$C$324&lt;&gt;"",Setup!$C$3:$C$324,"")</f>
        <v>#VALUE!</v>
      </c>
      <c r="D423" s="42" t="e">
        <f t="array" ref="D423">SUM(IF(B423=Setup!$B$3:$B$1022,Setup!$D$3:$D$1022))</f>
        <v>#VALUE!</v>
      </c>
      <c r="E423" s="42">
        <f>SUMIF(Sales!A:A,Stock!B423,Sales!D:D)</f>
        <v>0</v>
      </c>
      <c r="F423" s="42" t="e">
        <f t="shared" si="6"/>
        <v>#VALUE!</v>
      </c>
    </row>
    <row r="424" spans="2:6" x14ac:dyDescent="0.3">
      <c r="B424" s="42" t="e">
        <f>IF(Setup!$B$3:$B$324&lt;&gt;"",Setup!$B$3:$B$324,"")</f>
        <v>#VALUE!</v>
      </c>
      <c r="C424" s="46" t="e">
        <f>IF(Setup!$C$3:$C$324&lt;&gt;"",Setup!$C$3:$C$324,"")</f>
        <v>#VALUE!</v>
      </c>
      <c r="D424" s="42" t="e">
        <f t="array" ref="D424">SUM(IF(B424=Setup!$B$3:$B$1022,Setup!$D$3:$D$1022))</f>
        <v>#VALUE!</v>
      </c>
      <c r="E424" s="42">
        <f>SUMIF(Sales!A:A,Stock!B424,Sales!D:D)</f>
        <v>0</v>
      </c>
      <c r="F424" s="42" t="e">
        <f t="shared" si="6"/>
        <v>#VALUE!</v>
      </c>
    </row>
    <row r="425" spans="2:6" x14ac:dyDescent="0.3">
      <c r="B425" s="42" t="e">
        <f>IF(Setup!$B$3:$B$324&lt;&gt;"",Setup!$B$3:$B$324,"")</f>
        <v>#VALUE!</v>
      </c>
      <c r="C425" s="46" t="e">
        <f>IF(Setup!$C$3:$C$324&lt;&gt;"",Setup!$C$3:$C$324,"")</f>
        <v>#VALUE!</v>
      </c>
      <c r="D425" s="42" t="e">
        <f t="array" ref="D425">SUM(IF(B425=Setup!$B$3:$B$1022,Setup!$D$3:$D$1022))</f>
        <v>#VALUE!</v>
      </c>
      <c r="E425" s="42">
        <f>SUMIF(Sales!A:A,Stock!B425,Sales!D:D)</f>
        <v>0</v>
      </c>
      <c r="F425" s="42" t="e">
        <f t="shared" si="6"/>
        <v>#VALUE!</v>
      </c>
    </row>
    <row r="426" spans="2:6" x14ac:dyDescent="0.3">
      <c r="B426" s="42" t="e">
        <f>IF(Setup!$B$3:$B$324&lt;&gt;"",Setup!$B$3:$B$324,"")</f>
        <v>#VALUE!</v>
      </c>
      <c r="C426" s="46" t="e">
        <f>IF(Setup!$C$3:$C$324&lt;&gt;"",Setup!$C$3:$C$324,"")</f>
        <v>#VALUE!</v>
      </c>
      <c r="D426" s="42" t="e">
        <f t="array" ref="D426">SUM(IF(B426=Setup!$B$3:$B$1022,Setup!$D$3:$D$1022))</f>
        <v>#VALUE!</v>
      </c>
      <c r="E426" s="42">
        <f>SUMIF(Sales!A:A,Stock!B426,Sales!D:D)</f>
        <v>0</v>
      </c>
      <c r="F426" s="42" t="e">
        <f t="shared" si="6"/>
        <v>#VALUE!</v>
      </c>
    </row>
  </sheetData>
  <printOptions horizontalCentered="1" verticalCentere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432"/>
  <sheetViews>
    <sheetView topLeftCell="A67" workbookViewId="0">
      <selection activeCell="F159" sqref="F159:F171"/>
    </sheetView>
  </sheetViews>
  <sheetFormatPr defaultRowHeight="14.4" x14ac:dyDescent="0.3"/>
  <cols>
    <col min="1" max="1" width="21.33203125" customWidth="1"/>
    <col min="2" max="2" width="10" customWidth="1"/>
    <col min="3" max="3" width="59.6640625" style="48" bestFit="1" customWidth="1"/>
    <col min="4" max="4" width="15.5546875" bestFit="1" customWidth="1"/>
    <col min="5" max="5" width="5.44140625" bestFit="1" customWidth="1"/>
    <col min="6" max="6" width="12" bestFit="1" customWidth="1"/>
    <col min="7" max="7" width="4.5546875" customWidth="1"/>
    <col min="8" max="8" width="4.109375" customWidth="1"/>
    <col min="9" max="9" width="4" customWidth="1"/>
    <col min="10" max="10" width="3.44140625" customWidth="1"/>
    <col min="11" max="11" width="8.88671875" bestFit="1" customWidth="1"/>
    <col min="12" max="12" width="3.6640625" customWidth="1"/>
    <col min="13" max="13" width="11.5546875" style="50" bestFit="1" customWidth="1"/>
  </cols>
  <sheetData>
    <row r="1" spans="1:13" x14ac:dyDescent="0.3">
      <c r="C1" s="53" t="s">
        <v>203</v>
      </c>
    </row>
    <row r="2" spans="1:13" s="40" customFormat="1" ht="13.8" x14ac:dyDescent="0.3">
      <c r="A2" s="55" t="s">
        <v>35</v>
      </c>
      <c r="B2" s="55" t="s">
        <v>5</v>
      </c>
      <c r="C2" s="55" t="s">
        <v>11</v>
      </c>
      <c r="D2" s="55" t="s">
        <v>36</v>
      </c>
      <c r="E2" s="55" t="s">
        <v>7</v>
      </c>
      <c r="F2" s="55" t="s">
        <v>37</v>
      </c>
      <c r="G2" s="43"/>
      <c r="H2" s="43"/>
      <c r="I2" s="43"/>
      <c r="K2" s="43"/>
      <c r="M2" s="55" t="s">
        <v>38</v>
      </c>
    </row>
    <row r="3" spans="1:13" x14ac:dyDescent="0.3">
      <c r="A3" s="49" t="s">
        <v>43</v>
      </c>
      <c r="B3" s="42">
        <v>1001</v>
      </c>
      <c r="C3" s="46" t="s">
        <v>12</v>
      </c>
      <c r="D3" s="42">
        <v>8</v>
      </c>
      <c r="E3" s="42" t="s">
        <v>44</v>
      </c>
      <c r="F3" s="42">
        <v>3000</v>
      </c>
      <c r="G3" s="41"/>
      <c r="H3" s="41"/>
      <c r="I3" s="41"/>
      <c r="K3" s="41"/>
      <c r="M3" s="44">
        <f t="shared" ref="M3:M66" si="0">IF($B$3:$B$1522&lt;&gt;"",$B$3:$B$1522,"")</f>
        <v>1001</v>
      </c>
    </row>
    <row r="4" spans="1:13" x14ac:dyDescent="0.3">
      <c r="A4" s="42"/>
      <c r="B4" s="42">
        <v>1002</v>
      </c>
      <c r="C4" s="46" t="s">
        <v>45</v>
      </c>
      <c r="D4" s="42">
        <v>37</v>
      </c>
      <c r="E4" s="42" t="s">
        <v>44</v>
      </c>
      <c r="F4" s="42">
        <v>750</v>
      </c>
      <c r="G4" s="41"/>
      <c r="H4" s="41"/>
      <c r="I4" s="41"/>
      <c r="K4" s="41"/>
      <c r="M4" s="44">
        <f t="shared" si="0"/>
        <v>1002</v>
      </c>
    </row>
    <row r="5" spans="1:13" x14ac:dyDescent="0.3">
      <c r="A5" s="42"/>
      <c r="B5" s="42">
        <v>1003</v>
      </c>
      <c r="C5" s="46" t="s">
        <v>46</v>
      </c>
      <c r="D5" s="42">
        <v>9</v>
      </c>
      <c r="E5" s="42" t="s">
        <v>44</v>
      </c>
      <c r="F5" s="42">
        <v>2000</v>
      </c>
      <c r="G5" s="41"/>
      <c r="H5" s="41"/>
      <c r="I5" s="41"/>
      <c r="K5" s="41"/>
      <c r="M5" s="44">
        <f t="shared" si="0"/>
        <v>1003</v>
      </c>
    </row>
    <row r="6" spans="1:13" x14ac:dyDescent="0.3">
      <c r="A6" s="42"/>
      <c r="B6" s="42">
        <v>1004</v>
      </c>
      <c r="C6" s="46" t="s">
        <v>47</v>
      </c>
      <c r="D6" s="42">
        <v>4</v>
      </c>
      <c r="E6" s="42" t="s">
        <v>44</v>
      </c>
      <c r="F6" s="42">
        <v>6000</v>
      </c>
      <c r="G6" s="41"/>
      <c r="H6" s="41"/>
      <c r="I6" s="41"/>
      <c r="K6" s="41"/>
      <c r="M6" s="44">
        <f t="shared" si="0"/>
        <v>1004</v>
      </c>
    </row>
    <row r="7" spans="1:13" x14ac:dyDescent="0.3">
      <c r="A7" s="42"/>
      <c r="B7" s="42">
        <v>1005</v>
      </c>
      <c r="C7" s="46" t="s">
        <v>48</v>
      </c>
      <c r="D7" s="42">
        <v>2</v>
      </c>
      <c r="E7" s="42" t="s">
        <v>44</v>
      </c>
      <c r="F7" s="42">
        <v>5700</v>
      </c>
      <c r="G7" s="41"/>
      <c r="H7" s="41"/>
      <c r="I7" s="41"/>
      <c r="K7" s="41"/>
      <c r="M7" s="44">
        <f t="shared" si="0"/>
        <v>1005</v>
      </c>
    </row>
    <row r="8" spans="1:13" x14ac:dyDescent="0.3">
      <c r="A8" s="42"/>
      <c r="B8" s="42">
        <v>1006</v>
      </c>
      <c r="C8" s="46" t="s">
        <v>49</v>
      </c>
      <c r="D8" s="42"/>
      <c r="E8" s="42" t="s">
        <v>44</v>
      </c>
      <c r="F8" s="42">
        <v>5400</v>
      </c>
      <c r="G8" s="41"/>
      <c r="H8" s="41"/>
      <c r="I8" s="41"/>
      <c r="K8" s="41"/>
      <c r="M8" s="44">
        <f t="shared" si="0"/>
        <v>1006</v>
      </c>
    </row>
    <row r="9" spans="1:13" x14ac:dyDescent="0.3">
      <c r="A9" s="42"/>
      <c r="B9" s="42">
        <v>1007</v>
      </c>
      <c r="C9" s="46" t="s">
        <v>50</v>
      </c>
      <c r="D9" s="42">
        <v>1</v>
      </c>
      <c r="E9" s="42" t="s">
        <v>44</v>
      </c>
      <c r="F9" s="42">
        <v>2860</v>
      </c>
      <c r="G9" s="41"/>
      <c r="H9" s="41"/>
      <c r="I9" s="41"/>
      <c r="K9" s="41"/>
      <c r="M9" s="44">
        <f t="shared" si="0"/>
        <v>1007</v>
      </c>
    </row>
    <row r="10" spans="1:13" x14ac:dyDescent="0.3">
      <c r="A10" s="42"/>
      <c r="B10" s="42">
        <v>1008</v>
      </c>
      <c r="C10" s="46" t="s">
        <v>51</v>
      </c>
      <c r="D10" s="42"/>
      <c r="E10" s="42" t="s">
        <v>44</v>
      </c>
      <c r="F10" s="42">
        <v>4930</v>
      </c>
      <c r="G10" s="41"/>
      <c r="H10" s="41"/>
      <c r="I10" s="41"/>
      <c r="K10" s="41"/>
      <c r="M10" s="44">
        <f t="shared" si="0"/>
        <v>1008</v>
      </c>
    </row>
    <row r="11" spans="1:13" x14ac:dyDescent="0.3">
      <c r="A11" s="42"/>
      <c r="B11" s="42">
        <v>1009</v>
      </c>
      <c r="C11" s="46" t="s">
        <v>52</v>
      </c>
      <c r="D11" s="42"/>
      <c r="E11" s="42" t="s">
        <v>44</v>
      </c>
      <c r="F11" s="42">
        <v>2200</v>
      </c>
      <c r="G11" s="41"/>
      <c r="H11" s="41"/>
      <c r="I11" s="41"/>
      <c r="K11" s="41"/>
      <c r="M11" s="44">
        <f t="shared" si="0"/>
        <v>1009</v>
      </c>
    </row>
    <row r="12" spans="1:13" x14ac:dyDescent="0.3">
      <c r="A12" s="42"/>
      <c r="B12" s="42">
        <v>1010</v>
      </c>
      <c r="C12" s="46" t="s">
        <v>53</v>
      </c>
      <c r="D12" s="42">
        <v>5</v>
      </c>
      <c r="E12" s="42" t="s">
        <v>44</v>
      </c>
      <c r="F12" s="42">
        <v>3600</v>
      </c>
      <c r="G12" s="41"/>
      <c r="H12" s="41"/>
      <c r="I12" s="41"/>
      <c r="K12" s="41"/>
      <c r="M12" s="44">
        <f t="shared" si="0"/>
        <v>1010</v>
      </c>
    </row>
    <row r="13" spans="1:13" x14ac:dyDescent="0.3">
      <c r="A13" s="42"/>
      <c r="B13" s="42">
        <v>1011</v>
      </c>
      <c r="C13" s="46" t="s">
        <v>54</v>
      </c>
      <c r="D13" s="42">
        <v>2</v>
      </c>
      <c r="E13" s="42" t="s">
        <v>44</v>
      </c>
      <c r="F13" s="42">
        <v>3600</v>
      </c>
      <c r="G13" s="41"/>
      <c r="H13" s="41"/>
      <c r="I13" s="41"/>
      <c r="K13" s="41"/>
      <c r="M13" s="44">
        <f t="shared" si="0"/>
        <v>1011</v>
      </c>
    </row>
    <row r="14" spans="1:13" x14ac:dyDescent="0.3">
      <c r="A14" s="42"/>
      <c r="B14" s="42">
        <v>1012</v>
      </c>
      <c r="C14" s="46" t="s">
        <v>55</v>
      </c>
      <c r="D14" s="42">
        <v>8</v>
      </c>
      <c r="E14" s="42" t="s">
        <v>44</v>
      </c>
      <c r="F14" s="42">
        <v>1460</v>
      </c>
      <c r="G14" s="41"/>
      <c r="H14" s="41"/>
      <c r="I14" s="41"/>
      <c r="K14" s="41"/>
      <c r="M14" s="44">
        <f t="shared" si="0"/>
        <v>1012</v>
      </c>
    </row>
    <row r="15" spans="1:13" x14ac:dyDescent="0.3">
      <c r="A15" s="42"/>
      <c r="B15" s="42">
        <v>1013</v>
      </c>
      <c r="C15" s="46" t="s">
        <v>56</v>
      </c>
      <c r="D15" s="42">
        <v>14</v>
      </c>
      <c r="E15" s="42" t="s">
        <v>44</v>
      </c>
      <c r="F15" s="42">
        <v>1000</v>
      </c>
      <c r="G15" s="41"/>
      <c r="H15" s="41"/>
      <c r="I15" s="41"/>
      <c r="K15" s="41"/>
      <c r="M15" s="44">
        <f t="shared" si="0"/>
        <v>1013</v>
      </c>
    </row>
    <row r="16" spans="1:13" x14ac:dyDescent="0.3">
      <c r="A16" s="42"/>
      <c r="B16" s="42">
        <v>1014</v>
      </c>
      <c r="C16" s="46" t="s">
        <v>57</v>
      </c>
      <c r="D16" s="42"/>
      <c r="E16" s="42" t="s">
        <v>44</v>
      </c>
      <c r="F16" s="42">
        <v>4250</v>
      </c>
      <c r="G16" s="41"/>
      <c r="H16" s="41"/>
      <c r="I16" s="41"/>
      <c r="K16" s="41"/>
      <c r="M16" s="44">
        <f t="shared" si="0"/>
        <v>1014</v>
      </c>
    </row>
    <row r="17" spans="1:13" x14ac:dyDescent="0.3">
      <c r="A17" s="42"/>
      <c r="B17" s="42">
        <v>1015</v>
      </c>
      <c r="C17" s="46" t="s">
        <v>58</v>
      </c>
      <c r="D17" s="42">
        <v>2</v>
      </c>
      <c r="E17" s="42" t="s">
        <v>44</v>
      </c>
      <c r="F17" s="42">
        <v>2750</v>
      </c>
      <c r="G17" s="41"/>
      <c r="H17" s="41"/>
      <c r="I17" s="41"/>
      <c r="K17" s="41"/>
      <c r="M17" s="44">
        <f t="shared" si="0"/>
        <v>1015</v>
      </c>
    </row>
    <row r="18" spans="1:13" x14ac:dyDescent="0.3">
      <c r="A18" s="42"/>
      <c r="B18" s="42">
        <v>1016</v>
      </c>
      <c r="C18" s="46" t="s">
        <v>59</v>
      </c>
      <c r="D18" s="42"/>
      <c r="E18" s="42" t="s">
        <v>44</v>
      </c>
      <c r="F18" s="42">
        <v>2550</v>
      </c>
      <c r="G18" s="41"/>
      <c r="H18" s="41"/>
      <c r="I18" s="41"/>
      <c r="K18" s="41"/>
      <c r="M18" s="44">
        <f t="shared" si="0"/>
        <v>1016</v>
      </c>
    </row>
    <row r="19" spans="1:13" x14ac:dyDescent="0.3">
      <c r="A19" s="42"/>
      <c r="B19" s="42">
        <v>1017</v>
      </c>
      <c r="C19" s="46" t="s">
        <v>60</v>
      </c>
      <c r="D19" s="42"/>
      <c r="E19" s="42" t="s">
        <v>44</v>
      </c>
      <c r="F19" s="42">
        <v>2500</v>
      </c>
      <c r="G19" s="41"/>
      <c r="H19" s="41"/>
      <c r="I19" s="41"/>
      <c r="K19" s="41"/>
      <c r="M19" s="44">
        <f t="shared" si="0"/>
        <v>1017</v>
      </c>
    </row>
    <row r="20" spans="1:13" x14ac:dyDescent="0.3">
      <c r="A20" s="42"/>
      <c r="B20" s="42">
        <v>1018</v>
      </c>
      <c r="C20" s="46" t="s">
        <v>61</v>
      </c>
      <c r="D20" s="42">
        <v>3</v>
      </c>
      <c r="E20" s="42" t="s">
        <v>44</v>
      </c>
      <c r="F20" s="42">
        <v>1500</v>
      </c>
      <c r="G20" s="41"/>
      <c r="H20" s="41"/>
      <c r="I20" s="41"/>
      <c r="K20" s="41"/>
      <c r="M20" s="44">
        <f t="shared" si="0"/>
        <v>1018</v>
      </c>
    </row>
    <row r="21" spans="1:13" x14ac:dyDescent="0.3">
      <c r="A21" s="42"/>
      <c r="B21" s="42">
        <v>1019</v>
      </c>
      <c r="C21" s="46" t="s">
        <v>62</v>
      </c>
      <c r="D21" s="42">
        <v>1</v>
      </c>
      <c r="E21" s="42" t="s">
        <v>44</v>
      </c>
      <c r="F21" s="42">
        <v>800</v>
      </c>
      <c r="G21" s="41"/>
      <c r="H21" s="41"/>
      <c r="I21" s="41"/>
      <c r="K21" s="41"/>
      <c r="M21" s="44">
        <f t="shared" si="0"/>
        <v>1019</v>
      </c>
    </row>
    <row r="22" spans="1:13" x14ac:dyDescent="0.3">
      <c r="A22" s="42"/>
      <c r="B22" s="42">
        <v>1020</v>
      </c>
      <c r="C22" s="46" t="s">
        <v>63</v>
      </c>
      <c r="D22" s="42"/>
      <c r="E22" s="42" t="s">
        <v>44</v>
      </c>
      <c r="F22" s="42">
        <v>2500</v>
      </c>
      <c r="G22" s="41"/>
      <c r="H22" s="41"/>
      <c r="I22" s="41"/>
      <c r="K22" s="41"/>
      <c r="M22" s="44">
        <f t="shared" si="0"/>
        <v>1020</v>
      </c>
    </row>
    <row r="23" spans="1:13" x14ac:dyDescent="0.3">
      <c r="A23" s="42"/>
      <c r="B23" s="42">
        <v>1021</v>
      </c>
      <c r="C23" s="46" t="s">
        <v>64</v>
      </c>
      <c r="D23" s="42">
        <v>208</v>
      </c>
      <c r="E23" s="42" t="s">
        <v>44</v>
      </c>
      <c r="F23" s="42">
        <v>170</v>
      </c>
      <c r="G23" s="41"/>
      <c r="H23" s="41"/>
      <c r="I23" s="41"/>
      <c r="K23" s="41"/>
      <c r="M23" s="44">
        <f t="shared" si="0"/>
        <v>1021</v>
      </c>
    </row>
    <row r="24" spans="1:13" x14ac:dyDescent="0.3">
      <c r="A24" s="42"/>
      <c r="B24" s="42">
        <v>1022</v>
      </c>
      <c r="C24" s="46" t="s">
        <v>65</v>
      </c>
      <c r="D24" s="42">
        <v>8</v>
      </c>
      <c r="E24" s="42" t="s">
        <v>44</v>
      </c>
      <c r="F24" s="42">
        <v>300</v>
      </c>
      <c r="G24" s="41"/>
      <c r="H24" s="41"/>
      <c r="I24" s="41"/>
      <c r="K24" s="41"/>
      <c r="M24" s="44">
        <f t="shared" si="0"/>
        <v>1022</v>
      </c>
    </row>
    <row r="25" spans="1:13" x14ac:dyDescent="0.3">
      <c r="A25" s="42"/>
      <c r="B25" s="42">
        <v>1023</v>
      </c>
      <c r="C25" s="46" t="s">
        <v>66</v>
      </c>
      <c r="D25" s="42"/>
      <c r="E25" s="42" t="s">
        <v>44</v>
      </c>
      <c r="F25" s="42">
        <v>400</v>
      </c>
      <c r="G25" s="41"/>
      <c r="H25" s="41"/>
      <c r="I25" s="41"/>
      <c r="K25" s="41"/>
      <c r="M25" s="44">
        <f t="shared" si="0"/>
        <v>1023</v>
      </c>
    </row>
    <row r="26" spans="1:13" x14ac:dyDescent="0.3">
      <c r="A26" s="42"/>
      <c r="B26" s="42">
        <v>1024</v>
      </c>
      <c r="C26" s="46" t="s">
        <v>13</v>
      </c>
      <c r="D26" s="42">
        <v>12</v>
      </c>
      <c r="E26" s="42" t="s">
        <v>44</v>
      </c>
      <c r="F26" s="42">
        <v>100</v>
      </c>
      <c r="G26" s="41"/>
      <c r="H26" s="41"/>
      <c r="I26" s="41"/>
      <c r="K26" s="41"/>
      <c r="M26" s="44">
        <f t="shared" si="0"/>
        <v>1024</v>
      </c>
    </row>
    <row r="27" spans="1:13" x14ac:dyDescent="0.3">
      <c r="A27" s="42"/>
      <c r="B27" s="42">
        <v>1025</v>
      </c>
      <c r="C27" s="46" t="s">
        <v>14</v>
      </c>
      <c r="D27" s="42">
        <v>2</v>
      </c>
      <c r="E27" s="42" t="s">
        <v>44</v>
      </c>
      <c r="F27" s="42">
        <v>200</v>
      </c>
      <c r="G27" s="41"/>
      <c r="H27" s="41"/>
      <c r="I27" s="41"/>
      <c r="K27" s="41"/>
      <c r="M27" s="44">
        <f t="shared" si="0"/>
        <v>1025</v>
      </c>
    </row>
    <row r="28" spans="1:13" x14ac:dyDescent="0.3">
      <c r="A28" s="42"/>
      <c r="B28" s="42">
        <v>1026</v>
      </c>
      <c r="C28" s="46" t="s">
        <v>67</v>
      </c>
      <c r="D28" s="42">
        <v>115</v>
      </c>
      <c r="E28" s="42" t="s">
        <v>44</v>
      </c>
      <c r="F28" s="42">
        <v>60</v>
      </c>
      <c r="G28" s="41"/>
      <c r="H28" s="41"/>
      <c r="I28" s="41"/>
      <c r="K28" s="41"/>
      <c r="M28" s="44">
        <f t="shared" si="0"/>
        <v>1026</v>
      </c>
    </row>
    <row r="29" spans="1:13" x14ac:dyDescent="0.3">
      <c r="A29" s="42"/>
      <c r="B29" s="42">
        <v>1027</v>
      </c>
      <c r="C29" s="46" t="s">
        <v>68</v>
      </c>
      <c r="D29" s="42">
        <v>85</v>
      </c>
      <c r="E29" s="42" t="s">
        <v>44</v>
      </c>
      <c r="F29" s="42">
        <v>20</v>
      </c>
      <c r="G29" s="41"/>
      <c r="H29" s="41"/>
      <c r="I29" s="41"/>
      <c r="K29" s="41"/>
      <c r="M29" s="44">
        <f t="shared" si="0"/>
        <v>1027</v>
      </c>
    </row>
    <row r="30" spans="1:13" x14ac:dyDescent="0.3">
      <c r="A30" s="42"/>
      <c r="B30" s="42">
        <v>1028</v>
      </c>
      <c r="C30" s="46" t="s">
        <v>69</v>
      </c>
      <c r="D30" s="42">
        <v>3</v>
      </c>
      <c r="E30" s="42" t="s">
        <v>44</v>
      </c>
      <c r="F30" s="42">
        <v>40</v>
      </c>
      <c r="G30" s="41"/>
      <c r="H30" s="41"/>
      <c r="I30" s="41"/>
      <c r="K30" s="41"/>
      <c r="M30" s="44">
        <f t="shared" si="0"/>
        <v>1028</v>
      </c>
    </row>
    <row r="31" spans="1:13" x14ac:dyDescent="0.3">
      <c r="A31" s="42"/>
      <c r="B31" s="42">
        <v>1029</v>
      </c>
      <c r="C31" s="46" t="s">
        <v>70</v>
      </c>
      <c r="D31" s="42">
        <v>35</v>
      </c>
      <c r="E31" s="42" t="s">
        <v>44</v>
      </c>
      <c r="F31" s="42">
        <v>40</v>
      </c>
      <c r="G31" s="41"/>
      <c r="H31" s="41"/>
      <c r="I31" s="41"/>
      <c r="K31" s="41"/>
      <c r="M31" s="44">
        <f t="shared" si="0"/>
        <v>1029</v>
      </c>
    </row>
    <row r="32" spans="1:13" x14ac:dyDescent="0.3">
      <c r="A32" s="42"/>
      <c r="B32" s="42">
        <v>1030</v>
      </c>
      <c r="C32" s="46" t="s">
        <v>71</v>
      </c>
      <c r="D32" s="42">
        <v>1500</v>
      </c>
      <c r="E32" s="42" t="s">
        <v>44</v>
      </c>
      <c r="F32" s="42">
        <v>100</v>
      </c>
      <c r="G32" s="41"/>
      <c r="H32" s="41"/>
      <c r="I32" s="41"/>
      <c r="K32" s="41"/>
      <c r="M32" s="44">
        <f t="shared" si="0"/>
        <v>1030</v>
      </c>
    </row>
    <row r="33" spans="1:13" x14ac:dyDescent="0.3">
      <c r="A33" s="42"/>
      <c r="B33" s="42">
        <v>1031</v>
      </c>
      <c r="C33" s="46" t="s">
        <v>72</v>
      </c>
      <c r="D33" s="42">
        <v>15</v>
      </c>
      <c r="E33" s="42" t="s">
        <v>44</v>
      </c>
      <c r="F33" s="42">
        <v>80</v>
      </c>
      <c r="G33" s="41"/>
      <c r="H33" s="41"/>
      <c r="I33" s="41"/>
      <c r="K33" s="41"/>
      <c r="M33" s="44">
        <f t="shared" si="0"/>
        <v>1031</v>
      </c>
    </row>
    <row r="34" spans="1:13" x14ac:dyDescent="0.3">
      <c r="A34" s="42"/>
      <c r="B34" s="42">
        <v>1032</v>
      </c>
      <c r="C34" s="46" t="s">
        <v>73</v>
      </c>
      <c r="D34" s="42"/>
      <c r="E34" s="42" t="s">
        <v>44</v>
      </c>
      <c r="F34" s="42"/>
      <c r="G34" s="41"/>
      <c r="H34" s="41"/>
      <c r="I34" s="41"/>
      <c r="K34" s="41"/>
      <c r="M34" s="44">
        <f t="shared" si="0"/>
        <v>1032</v>
      </c>
    </row>
    <row r="35" spans="1:13" x14ac:dyDescent="0.3">
      <c r="A35" s="42"/>
      <c r="B35" s="42">
        <v>1033</v>
      </c>
      <c r="C35" s="46" t="s">
        <v>74</v>
      </c>
      <c r="D35" s="42">
        <v>38</v>
      </c>
      <c r="E35" s="42" t="s">
        <v>44</v>
      </c>
      <c r="F35" s="42">
        <v>180</v>
      </c>
      <c r="G35" s="41"/>
      <c r="H35" s="41"/>
      <c r="I35" s="41"/>
      <c r="K35" s="41"/>
      <c r="M35" s="44">
        <f t="shared" si="0"/>
        <v>1033</v>
      </c>
    </row>
    <row r="36" spans="1:13" x14ac:dyDescent="0.3">
      <c r="A36" s="42"/>
      <c r="B36" s="42">
        <v>1034</v>
      </c>
      <c r="C36" s="46" t="s">
        <v>75</v>
      </c>
      <c r="D36" s="42">
        <v>36</v>
      </c>
      <c r="E36" s="42" t="s">
        <v>44</v>
      </c>
      <c r="F36" s="42">
        <v>120</v>
      </c>
      <c r="G36" s="41"/>
      <c r="H36" s="41"/>
      <c r="I36" s="41"/>
      <c r="K36" s="41"/>
      <c r="M36" s="44">
        <f t="shared" si="0"/>
        <v>1034</v>
      </c>
    </row>
    <row r="37" spans="1:13" x14ac:dyDescent="0.3">
      <c r="A37" s="42"/>
      <c r="B37" s="42">
        <v>1035</v>
      </c>
      <c r="C37" s="46" t="s">
        <v>76</v>
      </c>
      <c r="D37" s="42">
        <v>16</v>
      </c>
      <c r="E37" s="42" t="s">
        <v>44</v>
      </c>
      <c r="F37" s="42">
        <v>110</v>
      </c>
      <c r="G37" s="41"/>
      <c r="H37" s="41"/>
      <c r="I37" s="41"/>
      <c r="K37" s="41"/>
      <c r="M37" s="44">
        <f t="shared" si="0"/>
        <v>1035</v>
      </c>
    </row>
    <row r="38" spans="1:13" x14ac:dyDescent="0.3">
      <c r="A38" s="42"/>
      <c r="B38" s="42">
        <v>1036</v>
      </c>
      <c r="C38" s="46" t="s">
        <v>77</v>
      </c>
      <c r="D38" s="42">
        <v>74</v>
      </c>
      <c r="E38" s="42" t="s">
        <v>44</v>
      </c>
      <c r="F38" s="42">
        <v>10</v>
      </c>
      <c r="G38" s="41"/>
      <c r="H38" s="41"/>
      <c r="I38" s="41"/>
      <c r="K38" s="41"/>
      <c r="M38" s="44">
        <f t="shared" si="0"/>
        <v>1036</v>
      </c>
    </row>
    <row r="39" spans="1:13" x14ac:dyDescent="0.3">
      <c r="A39" s="42"/>
      <c r="B39" s="42">
        <v>1037</v>
      </c>
      <c r="C39" s="46" t="s">
        <v>78</v>
      </c>
      <c r="D39" s="42">
        <v>60</v>
      </c>
      <c r="E39" s="42" t="s">
        <v>79</v>
      </c>
      <c r="F39" s="42">
        <v>50</v>
      </c>
      <c r="G39" s="41"/>
      <c r="H39" s="41"/>
      <c r="I39" s="41"/>
      <c r="K39" s="41"/>
      <c r="M39" s="44">
        <f t="shared" si="0"/>
        <v>1037</v>
      </c>
    </row>
    <row r="40" spans="1:13" x14ac:dyDescent="0.3">
      <c r="A40" s="42"/>
      <c r="B40" s="42">
        <v>1038</v>
      </c>
      <c r="C40" s="46" t="s">
        <v>80</v>
      </c>
      <c r="D40" s="42">
        <v>15</v>
      </c>
      <c r="E40" s="42" t="s">
        <v>44</v>
      </c>
      <c r="F40" s="42">
        <v>10</v>
      </c>
      <c r="G40" s="41"/>
      <c r="H40" s="41"/>
      <c r="I40" s="41"/>
      <c r="K40" s="41"/>
      <c r="M40" s="44">
        <f t="shared" si="0"/>
        <v>1038</v>
      </c>
    </row>
    <row r="41" spans="1:13" x14ac:dyDescent="0.3">
      <c r="A41" s="42"/>
      <c r="B41" s="42">
        <v>1039</v>
      </c>
      <c r="C41" s="46" t="s">
        <v>81</v>
      </c>
      <c r="D41" s="42">
        <v>5</v>
      </c>
      <c r="E41" s="42" t="s">
        <v>44</v>
      </c>
      <c r="F41" s="42">
        <v>20</v>
      </c>
      <c r="G41" s="41"/>
      <c r="H41" s="41"/>
      <c r="I41" s="41"/>
      <c r="K41" s="41"/>
      <c r="M41" s="44">
        <f t="shared" si="0"/>
        <v>1039</v>
      </c>
    </row>
    <row r="42" spans="1:13" x14ac:dyDescent="0.3">
      <c r="A42" s="42"/>
      <c r="B42" s="42">
        <v>1040</v>
      </c>
      <c r="C42" s="46" t="s">
        <v>82</v>
      </c>
      <c r="D42" s="42">
        <v>180</v>
      </c>
      <c r="E42" s="42" t="s">
        <v>44</v>
      </c>
      <c r="F42" s="42">
        <v>20</v>
      </c>
      <c r="G42" s="41"/>
      <c r="H42" s="41"/>
      <c r="I42" s="41"/>
      <c r="K42" s="41"/>
      <c r="M42" s="44">
        <f t="shared" si="0"/>
        <v>1040</v>
      </c>
    </row>
    <row r="43" spans="1:13" x14ac:dyDescent="0.3">
      <c r="A43" s="42"/>
      <c r="B43" s="42">
        <v>1041</v>
      </c>
      <c r="C43" s="46" t="s">
        <v>83</v>
      </c>
      <c r="D43" s="42"/>
      <c r="E43" s="42" t="s">
        <v>44</v>
      </c>
      <c r="F43" s="42">
        <v>100</v>
      </c>
      <c r="G43" s="41"/>
      <c r="H43" s="41"/>
      <c r="I43" s="41"/>
      <c r="K43" s="41"/>
      <c r="M43" s="44">
        <f t="shared" si="0"/>
        <v>1041</v>
      </c>
    </row>
    <row r="44" spans="1:13" x14ac:dyDescent="0.3">
      <c r="A44" s="42"/>
      <c r="B44" s="42">
        <v>1042</v>
      </c>
      <c r="C44" s="46" t="s">
        <v>84</v>
      </c>
      <c r="D44" s="42"/>
      <c r="E44" s="42" t="s">
        <v>44</v>
      </c>
      <c r="F44" s="42">
        <v>50</v>
      </c>
      <c r="G44" s="41"/>
      <c r="H44" s="41"/>
      <c r="I44" s="41"/>
      <c r="K44" s="41"/>
      <c r="M44" s="44">
        <f t="shared" si="0"/>
        <v>1042</v>
      </c>
    </row>
    <row r="45" spans="1:13" x14ac:dyDescent="0.3">
      <c r="A45" s="42"/>
      <c r="B45" s="42">
        <v>1043</v>
      </c>
      <c r="C45" s="46" t="s">
        <v>85</v>
      </c>
      <c r="D45" s="42">
        <v>6</v>
      </c>
      <c r="E45" s="42" t="s">
        <v>44</v>
      </c>
      <c r="F45" s="42">
        <v>20</v>
      </c>
      <c r="G45" s="41"/>
      <c r="H45" s="41"/>
      <c r="I45" s="41"/>
      <c r="K45" s="41"/>
      <c r="M45" s="44">
        <f t="shared" si="0"/>
        <v>1043</v>
      </c>
    </row>
    <row r="46" spans="1:13" x14ac:dyDescent="0.3">
      <c r="A46" s="42"/>
      <c r="B46" s="42">
        <v>1044</v>
      </c>
      <c r="C46" s="46" t="s">
        <v>86</v>
      </c>
      <c r="D46" s="42"/>
      <c r="E46" s="42" t="s">
        <v>44</v>
      </c>
      <c r="F46" s="42">
        <v>40</v>
      </c>
      <c r="G46" s="41"/>
      <c r="H46" s="41"/>
      <c r="I46" s="41"/>
      <c r="K46" s="41"/>
      <c r="M46" s="44">
        <f t="shared" si="0"/>
        <v>1044</v>
      </c>
    </row>
    <row r="47" spans="1:13" x14ac:dyDescent="0.3">
      <c r="A47" s="42"/>
      <c r="B47" s="42">
        <v>1045</v>
      </c>
      <c r="C47" s="46" t="s">
        <v>87</v>
      </c>
      <c r="D47" s="42"/>
      <c r="E47" s="42" t="s">
        <v>44</v>
      </c>
      <c r="F47" s="42">
        <v>30</v>
      </c>
      <c r="G47" s="41"/>
      <c r="H47" s="41"/>
      <c r="I47" s="41"/>
      <c r="K47" s="41"/>
      <c r="M47" s="44">
        <f t="shared" si="0"/>
        <v>1045</v>
      </c>
    </row>
    <row r="48" spans="1:13" x14ac:dyDescent="0.3">
      <c r="A48" s="42"/>
      <c r="B48" s="42">
        <v>1046</v>
      </c>
      <c r="C48" s="46" t="s">
        <v>88</v>
      </c>
      <c r="D48" s="42">
        <v>7</v>
      </c>
      <c r="E48" s="42" t="s">
        <v>44</v>
      </c>
      <c r="F48" s="42">
        <v>125</v>
      </c>
      <c r="G48" s="41"/>
      <c r="H48" s="41"/>
      <c r="I48" s="41"/>
      <c r="K48" s="41"/>
      <c r="M48" s="44">
        <f t="shared" si="0"/>
        <v>1046</v>
      </c>
    </row>
    <row r="49" spans="1:13" x14ac:dyDescent="0.3">
      <c r="A49" s="42"/>
      <c r="B49" s="42">
        <v>1047</v>
      </c>
      <c r="C49" s="46" t="s">
        <v>89</v>
      </c>
      <c r="D49" s="42">
        <v>5</v>
      </c>
      <c r="E49" s="42" t="s">
        <v>44</v>
      </c>
      <c r="F49" s="42">
        <v>125</v>
      </c>
      <c r="G49" s="41"/>
      <c r="H49" s="41"/>
      <c r="I49" s="41"/>
      <c r="K49" s="41"/>
      <c r="M49" s="44">
        <f t="shared" si="0"/>
        <v>1047</v>
      </c>
    </row>
    <row r="50" spans="1:13" x14ac:dyDescent="0.3">
      <c r="A50" s="42"/>
      <c r="B50" s="42">
        <v>1048</v>
      </c>
      <c r="C50" s="46" t="s">
        <v>90</v>
      </c>
      <c r="D50" s="42">
        <v>8</v>
      </c>
      <c r="E50" s="42" t="s">
        <v>44</v>
      </c>
      <c r="F50" s="42">
        <v>250</v>
      </c>
      <c r="G50" s="41"/>
      <c r="H50" s="41"/>
      <c r="I50" s="41"/>
      <c r="K50" s="41"/>
      <c r="M50" s="44">
        <f t="shared" si="0"/>
        <v>1048</v>
      </c>
    </row>
    <row r="51" spans="1:13" x14ac:dyDescent="0.3">
      <c r="A51" s="42"/>
      <c r="B51" s="42">
        <v>1049</v>
      </c>
      <c r="C51" s="46" t="s">
        <v>91</v>
      </c>
      <c r="D51" s="42">
        <v>28</v>
      </c>
      <c r="E51" s="42" t="s">
        <v>44</v>
      </c>
      <c r="F51" s="42">
        <v>350</v>
      </c>
      <c r="G51" s="41"/>
      <c r="H51" s="41"/>
      <c r="I51" s="41"/>
      <c r="K51" s="41"/>
      <c r="M51" s="44">
        <f t="shared" si="0"/>
        <v>1049</v>
      </c>
    </row>
    <row r="52" spans="1:13" x14ac:dyDescent="0.3">
      <c r="A52" s="42"/>
      <c r="B52" s="42">
        <v>1050</v>
      </c>
      <c r="C52" s="46" t="s">
        <v>92</v>
      </c>
      <c r="D52" s="42">
        <v>26</v>
      </c>
      <c r="E52" s="42" t="s">
        <v>44</v>
      </c>
      <c r="F52" s="42">
        <v>60</v>
      </c>
      <c r="G52" s="41"/>
      <c r="H52" s="41"/>
      <c r="I52" s="41"/>
      <c r="K52" s="41"/>
      <c r="M52" s="44">
        <f t="shared" si="0"/>
        <v>1050</v>
      </c>
    </row>
    <row r="53" spans="1:13" x14ac:dyDescent="0.3">
      <c r="A53" s="42"/>
      <c r="B53" s="42">
        <v>1051</v>
      </c>
      <c r="C53" s="46" t="s">
        <v>93</v>
      </c>
      <c r="D53" s="42">
        <v>9</v>
      </c>
      <c r="E53" s="42" t="s">
        <v>44</v>
      </c>
      <c r="F53" s="42">
        <v>10</v>
      </c>
      <c r="G53" s="41"/>
      <c r="H53" s="41"/>
      <c r="I53" s="41"/>
      <c r="K53" s="41"/>
      <c r="M53" s="44">
        <f t="shared" si="0"/>
        <v>1051</v>
      </c>
    </row>
    <row r="54" spans="1:13" x14ac:dyDescent="0.3">
      <c r="A54" s="42"/>
      <c r="B54" s="42">
        <v>1052</v>
      </c>
      <c r="C54" s="46" t="s">
        <v>94</v>
      </c>
      <c r="D54" s="42"/>
      <c r="E54" s="42" t="s">
        <v>44</v>
      </c>
      <c r="F54" s="42">
        <v>2</v>
      </c>
      <c r="G54" s="41"/>
      <c r="H54" s="41"/>
      <c r="I54" s="41"/>
      <c r="K54" s="41"/>
      <c r="M54" s="44">
        <f t="shared" si="0"/>
        <v>1052</v>
      </c>
    </row>
    <row r="55" spans="1:13" x14ac:dyDescent="0.3">
      <c r="A55" s="42"/>
      <c r="B55" s="42">
        <v>1053</v>
      </c>
      <c r="C55" s="46" t="s">
        <v>95</v>
      </c>
      <c r="D55" s="42">
        <v>9</v>
      </c>
      <c r="E55" s="42" t="s">
        <v>44</v>
      </c>
      <c r="F55" s="42">
        <v>150</v>
      </c>
      <c r="G55" s="41"/>
      <c r="H55" s="41"/>
      <c r="I55" s="41"/>
      <c r="K55" s="41"/>
      <c r="M55" s="44">
        <f t="shared" si="0"/>
        <v>1053</v>
      </c>
    </row>
    <row r="56" spans="1:13" x14ac:dyDescent="0.3">
      <c r="A56" s="42"/>
      <c r="B56" s="42">
        <v>1054</v>
      </c>
      <c r="C56" s="46" t="s">
        <v>96</v>
      </c>
      <c r="D56" s="42">
        <v>4</v>
      </c>
      <c r="E56" s="42" t="s">
        <v>44</v>
      </c>
      <c r="F56" s="42">
        <v>20</v>
      </c>
      <c r="G56" s="41"/>
      <c r="H56" s="41"/>
      <c r="I56" s="41"/>
      <c r="K56" s="41"/>
      <c r="M56" s="44">
        <f t="shared" si="0"/>
        <v>1054</v>
      </c>
    </row>
    <row r="57" spans="1:13" x14ac:dyDescent="0.3">
      <c r="A57" s="42"/>
      <c r="B57" s="42">
        <v>1055</v>
      </c>
      <c r="C57" s="46" t="s">
        <v>97</v>
      </c>
      <c r="D57" s="42"/>
      <c r="E57" s="42" t="s">
        <v>44</v>
      </c>
      <c r="F57" s="42">
        <v>60</v>
      </c>
      <c r="G57" s="41"/>
      <c r="H57" s="41"/>
      <c r="I57" s="41"/>
      <c r="K57" s="41"/>
      <c r="M57" s="44">
        <f t="shared" si="0"/>
        <v>1055</v>
      </c>
    </row>
    <row r="58" spans="1:13" x14ac:dyDescent="0.3">
      <c r="A58" s="42"/>
      <c r="B58" s="42">
        <v>1056</v>
      </c>
      <c r="C58" s="46" t="s">
        <v>98</v>
      </c>
      <c r="D58" s="42">
        <v>40</v>
      </c>
      <c r="E58" s="42" t="s">
        <v>44</v>
      </c>
      <c r="F58" s="42">
        <v>5</v>
      </c>
      <c r="G58" s="41"/>
      <c r="H58" s="41"/>
      <c r="I58" s="41"/>
      <c r="K58" s="41"/>
      <c r="M58" s="44">
        <f t="shared" si="0"/>
        <v>1056</v>
      </c>
    </row>
    <row r="59" spans="1:13" x14ac:dyDescent="0.3">
      <c r="A59" s="42"/>
      <c r="B59" s="42">
        <v>1057</v>
      </c>
      <c r="C59" s="46" t="s">
        <v>99</v>
      </c>
      <c r="D59" s="42"/>
      <c r="E59" s="42" t="s">
        <v>44</v>
      </c>
      <c r="F59" s="42">
        <v>30</v>
      </c>
      <c r="G59" s="41"/>
      <c r="H59" s="41"/>
      <c r="I59" s="41"/>
      <c r="K59" s="41"/>
      <c r="M59" s="44">
        <f t="shared" si="0"/>
        <v>1057</v>
      </c>
    </row>
    <row r="60" spans="1:13" x14ac:dyDescent="0.3">
      <c r="A60" s="42"/>
      <c r="B60" s="42">
        <v>1058</v>
      </c>
      <c r="C60" s="46" t="s">
        <v>100</v>
      </c>
      <c r="D60" s="42">
        <v>2</v>
      </c>
      <c r="E60" s="42" t="s">
        <v>44</v>
      </c>
      <c r="F60" s="42">
        <v>20</v>
      </c>
      <c r="G60" s="41"/>
      <c r="H60" s="41"/>
      <c r="I60" s="41"/>
      <c r="K60" s="41"/>
      <c r="M60" s="44">
        <f t="shared" si="0"/>
        <v>1058</v>
      </c>
    </row>
    <row r="61" spans="1:13" x14ac:dyDescent="0.3">
      <c r="A61" s="42"/>
      <c r="B61" s="42">
        <v>1059</v>
      </c>
      <c r="C61" s="46" t="s">
        <v>101</v>
      </c>
      <c r="D61" s="42">
        <v>7</v>
      </c>
      <c r="E61" s="42" t="s">
        <v>44</v>
      </c>
      <c r="F61" s="42">
        <v>100</v>
      </c>
      <c r="G61" s="41"/>
      <c r="H61" s="41"/>
      <c r="I61" s="41"/>
      <c r="K61" s="41"/>
      <c r="M61" s="44">
        <f t="shared" si="0"/>
        <v>1059</v>
      </c>
    </row>
    <row r="62" spans="1:13" x14ac:dyDescent="0.3">
      <c r="A62" s="42"/>
      <c r="B62" s="42">
        <v>1060</v>
      </c>
      <c r="C62" s="46" t="s">
        <v>102</v>
      </c>
      <c r="D62" s="42">
        <v>10</v>
      </c>
      <c r="E62" s="42" t="s">
        <v>44</v>
      </c>
      <c r="F62" s="42">
        <v>20</v>
      </c>
      <c r="G62" s="41"/>
      <c r="H62" s="41"/>
      <c r="I62" s="41"/>
      <c r="K62" s="41"/>
      <c r="M62" s="44">
        <f t="shared" si="0"/>
        <v>1060</v>
      </c>
    </row>
    <row r="63" spans="1:13" x14ac:dyDescent="0.3">
      <c r="A63" s="42"/>
      <c r="B63" s="42">
        <v>1061</v>
      </c>
      <c r="C63" s="46" t="s">
        <v>103</v>
      </c>
      <c r="D63" s="42">
        <v>2</v>
      </c>
      <c r="E63" s="42" t="s">
        <v>44</v>
      </c>
      <c r="F63" s="42">
        <v>10</v>
      </c>
      <c r="G63" s="41"/>
      <c r="H63" s="41"/>
      <c r="I63" s="41"/>
      <c r="K63" s="41"/>
      <c r="M63" s="44">
        <f t="shared" si="0"/>
        <v>1061</v>
      </c>
    </row>
    <row r="64" spans="1:13" x14ac:dyDescent="0.3">
      <c r="A64" s="42"/>
      <c r="B64" s="42">
        <v>1062</v>
      </c>
      <c r="C64" s="46" t="s">
        <v>104</v>
      </c>
      <c r="D64" s="42">
        <v>2</v>
      </c>
      <c r="E64" s="42" t="s">
        <v>44</v>
      </c>
      <c r="F64" s="42">
        <v>150</v>
      </c>
      <c r="G64" s="41"/>
      <c r="H64" s="41"/>
      <c r="I64" s="41"/>
      <c r="K64" s="41"/>
      <c r="M64" s="44">
        <f t="shared" si="0"/>
        <v>1062</v>
      </c>
    </row>
    <row r="65" spans="1:13" x14ac:dyDescent="0.3">
      <c r="A65" s="42"/>
      <c r="B65" s="42">
        <v>1063</v>
      </c>
      <c r="C65" s="46" t="s">
        <v>105</v>
      </c>
      <c r="D65" s="42">
        <v>5</v>
      </c>
      <c r="E65" s="42" t="s">
        <v>44</v>
      </c>
      <c r="F65" s="42">
        <v>400</v>
      </c>
      <c r="G65" s="41"/>
      <c r="H65" s="41"/>
      <c r="I65" s="41"/>
      <c r="K65" s="41"/>
      <c r="M65" s="44">
        <f t="shared" si="0"/>
        <v>1063</v>
      </c>
    </row>
    <row r="66" spans="1:13" x14ac:dyDescent="0.3">
      <c r="A66" s="42"/>
      <c r="B66" s="42">
        <v>1064</v>
      </c>
      <c r="C66" s="46" t="s">
        <v>106</v>
      </c>
      <c r="D66" s="42"/>
      <c r="E66" s="42" t="s">
        <v>44</v>
      </c>
      <c r="F66" s="42">
        <v>150</v>
      </c>
      <c r="G66" s="41"/>
      <c r="H66" s="41"/>
      <c r="I66" s="41"/>
      <c r="K66" s="41"/>
      <c r="M66" s="44">
        <f t="shared" si="0"/>
        <v>1064</v>
      </c>
    </row>
    <row r="67" spans="1:13" x14ac:dyDescent="0.3">
      <c r="A67" s="42"/>
      <c r="B67" s="42">
        <v>1065</v>
      </c>
      <c r="C67" s="46" t="s">
        <v>107</v>
      </c>
      <c r="D67" s="42"/>
      <c r="E67" s="42" t="s">
        <v>44</v>
      </c>
      <c r="F67" s="42">
        <v>700</v>
      </c>
      <c r="G67" s="41"/>
      <c r="H67" s="41"/>
      <c r="I67" s="41"/>
      <c r="K67" s="41"/>
      <c r="M67" s="44">
        <f t="shared" ref="M67:M130" si="1">IF($B$3:$B$1522&lt;&gt;"",$B$3:$B$1522,"")</f>
        <v>1065</v>
      </c>
    </row>
    <row r="68" spans="1:13" x14ac:dyDescent="0.3">
      <c r="A68" s="42"/>
      <c r="B68" s="42">
        <v>1066</v>
      </c>
      <c r="C68" s="46" t="s">
        <v>108</v>
      </c>
      <c r="D68" s="42"/>
      <c r="E68" s="42" t="s">
        <v>44</v>
      </c>
      <c r="F68" s="42">
        <v>150</v>
      </c>
      <c r="G68" s="41"/>
      <c r="H68" s="41"/>
      <c r="I68" s="41"/>
      <c r="K68" s="41"/>
      <c r="M68" s="44">
        <f t="shared" si="1"/>
        <v>1066</v>
      </c>
    </row>
    <row r="69" spans="1:13" x14ac:dyDescent="0.3">
      <c r="A69" s="42" t="s">
        <v>109</v>
      </c>
      <c r="B69" s="42">
        <v>1101</v>
      </c>
      <c r="C69" s="46" t="s">
        <v>110</v>
      </c>
      <c r="D69" s="42">
        <v>50</v>
      </c>
      <c r="E69" s="42" t="s">
        <v>111</v>
      </c>
      <c r="F69" s="42">
        <v>125</v>
      </c>
      <c r="G69" s="41"/>
      <c r="H69" s="41"/>
      <c r="I69" s="41"/>
      <c r="K69" s="41"/>
      <c r="M69" s="44">
        <f t="shared" si="1"/>
        <v>1101</v>
      </c>
    </row>
    <row r="70" spans="1:13" x14ac:dyDescent="0.3">
      <c r="A70" s="42"/>
      <c r="B70" s="42">
        <v>1102</v>
      </c>
      <c r="C70" s="46" t="s">
        <v>112</v>
      </c>
      <c r="D70" s="42">
        <v>3</v>
      </c>
      <c r="E70" s="42" t="s">
        <v>111</v>
      </c>
      <c r="F70" s="42">
        <v>80</v>
      </c>
      <c r="G70" s="41"/>
      <c r="H70" s="41"/>
      <c r="I70" s="41"/>
      <c r="K70" s="41"/>
      <c r="M70" s="44">
        <f t="shared" si="1"/>
        <v>1102</v>
      </c>
    </row>
    <row r="71" spans="1:13" x14ac:dyDescent="0.3">
      <c r="A71" s="42"/>
      <c r="B71" s="42">
        <v>1103</v>
      </c>
      <c r="C71" s="46" t="s">
        <v>113</v>
      </c>
      <c r="D71" s="42">
        <v>103</v>
      </c>
      <c r="E71" s="42" t="s">
        <v>111</v>
      </c>
      <c r="F71" s="42">
        <v>30</v>
      </c>
      <c r="G71" s="41"/>
      <c r="H71" s="41"/>
      <c r="I71" s="41"/>
      <c r="K71" s="41"/>
      <c r="M71" s="44">
        <f t="shared" si="1"/>
        <v>1103</v>
      </c>
    </row>
    <row r="72" spans="1:13" x14ac:dyDescent="0.3">
      <c r="A72" s="42"/>
      <c r="B72" s="42">
        <v>1104</v>
      </c>
      <c r="C72" s="46" t="s">
        <v>114</v>
      </c>
      <c r="D72" s="42">
        <v>4</v>
      </c>
      <c r="E72" s="42" t="s">
        <v>111</v>
      </c>
      <c r="F72" s="42">
        <v>30</v>
      </c>
      <c r="G72" s="41"/>
      <c r="H72" s="41"/>
      <c r="I72" s="41"/>
      <c r="K72" s="41"/>
      <c r="M72" s="44">
        <f t="shared" si="1"/>
        <v>1104</v>
      </c>
    </row>
    <row r="73" spans="1:13" x14ac:dyDescent="0.3">
      <c r="A73" s="42"/>
      <c r="B73" s="42">
        <v>1105</v>
      </c>
      <c r="C73" s="46" t="s">
        <v>115</v>
      </c>
      <c r="D73" s="42"/>
      <c r="E73" s="42" t="s">
        <v>111</v>
      </c>
      <c r="F73" s="42">
        <v>140</v>
      </c>
      <c r="G73" s="41"/>
      <c r="H73" s="41"/>
      <c r="I73" s="41"/>
      <c r="K73" s="41"/>
      <c r="M73" s="44">
        <f t="shared" si="1"/>
        <v>1105</v>
      </c>
    </row>
    <row r="74" spans="1:13" x14ac:dyDescent="0.3">
      <c r="A74" s="42"/>
      <c r="B74" s="42">
        <v>1106</v>
      </c>
      <c r="C74" s="46" t="s">
        <v>116</v>
      </c>
      <c r="D74" s="42">
        <v>170</v>
      </c>
      <c r="E74" s="42" t="s">
        <v>111</v>
      </c>
      <c r="F74" s="42">
        <v>45</v>
      </c>
      <c r="G74" s="41"/>
      <c r="H74" s="41"/>
      <c r="I74" s="41"/>
      <c r="K74" s="41"/>
      <c r="M74" s="44">
        <f t="shared" si="1"/>
        <v>1106</v>
      </c>
    </row>
    <row r="75" spans="1:13" x14ac:dyDescent="0.3">
      <c r="A75" s="42"/>
      <c r="B75" s="42">
        <v>1107</v>
      </c>
      <c r="C75" s="46" t="s">
        <v>117</v>
      </c>
      <c r="D75" s="42"/>
      <c r="E75" s="42" t="s">
        <v>111</v>
      </c>
      <c r="F75" s="42">
        <v>15</v>
      </c>
      <c r="G75" s="41"/>
      <c r="H75" s="41"/>
      <c r="I75" s="41"/>
      <c r="K75" s="41"/>
      <c r="M75" s="44">
        <f t="shared" si="1"/>
        <v>1107</v>
      </c>
    </row>
    <row r="76" spans="1:13" x14ac:dyDescent="0.3">
      <c r="A76" s="42"/>
      <c r="B76" s="42">
        <v>1108</v>
      </c>
      <c r="C76" s="46" t="s">
        <v>118</v>
      </c>
      <c r="D76" s="42">
        <v>140</v>
      </c>
      <c r="E76" s="42" t="s">
        <v>111</v>
      </c>
      <c r="F76" s="42">
        <v>5</v>
      </c>
      <c r="G76" s="41"/>
      <c r="H76" s="41"/>
      <c r="I76" s="41"/>
      <c r="K76" s="41"/>
      <c r="M76" s="44">
        <f t="shared" si="1"/>
        <v>1108</v>
      </c>
    </row>
    <row r="77" spans="1:13" x14ac:dyDescent="0.3">
      <c r="A77" s="42"/>
      <c r="B77" s="42">
        <v>1109</v>
      </c>
      <c r="C77" s="46" t="s">
        <v>119</v>
      </c>
      <c r="D77" s="42">
        <v>1</v>
      </c>
      <c r="E77" s="42" t="s">
        <v>111</v>
      </c>
      <c r="F77" s="42">
        <v>400</v>
      </c>
      <c r="G77" s="41"/>
      <c r="H77" s="41"/>
      <c r="I77" s="41"/>
      <c r="K77" s="41"/>
      <c r="M77" s="44">
        <f t="shared" si="1"/>
        <v>1109</v>
      </c>
    </row>
    <row r="78" spans="1:13" x14ac:dyDescent="0.3">
      <c r="A78" s="42"/>
      <c r="B78" s="42">
        <v>1110</v>
      </c>
      <c r="C78" s="46" t="s">
        <v>120</v>
      </c>
      <c r="D78" s="42"/>
      <c r="E78" s="42" t="s">
        <v>111</v>
      </c>
      <c r="F78" s="42">
        <v>700</v>
      </c>
      <c r="G78" s="41"/>
      <c r="H78" s="41"/>
      <c r="I78" s="41"/>
      <c r="K78" s="41"/>
      <c r="M78" s="44">
        <f t="shared" si="1"/>
        <v>1110</v>
      </c>
    </row>
    <row r="79" spans="1:13" x14ac:dyDescent="0.3">
      <c r="A79" s="42"/>
      <c r="B79" s="42">
        <v>1111</v>
      </c>
      <c r="C79" s="46" t="s">
        <v>121</v>
      </c>
      <c r="D79" s="42"/>
      <c r="E79" s="42" t="s">
        <v>111</v>
      </c>
      <c r="F79" s="42">
        <v>1500</v>
      </c>
      <c r="G79" s="41"/>
      <c r="H79" s="41"/>
      <c r="I79" s="41"/>
      <c r="K79" s="41"/>
      <c r="M79" s="44">
        <f t="shared" si="1"/>
        <v>1111</v>
      </c>
    </row>
    <row r="80" spans="1:13" x14ac:dyDescent="0.3">
      <c r="A80" s="42"/>
      <c r="B80" s="42">
        <v>1112</v>
      </c>
      <c r="C80" s="46" t="s">
        <v>122</v>
      </c>
      <c r="D80" s="42"/>
      <c r="E80" s="42" t="s">
        <v>111</v>
      </c>
      <c r="F80" s="42">
        <v>2850</v>
      </c>
      <c r="G80" s="41"/>
      <c r="H80" s="41"/>
      <c r="I80" s="41"/>
      <c r="K80" s="41"/>
      <c r="M80" s="44">
        <f t="shared" si="1"/>
        <v>1112</v>
      </c>
    </row>
    <row r="81" spans="1:13" x14ac:dyDescent="0.3">
      <c r="A81" s="42"/>
      <c r="B81" s="42">
        <v>1113</v>
      </c>
      <c r="C81" s="46" t="s">
        <v>123</v>
      </c>
      <c r="D81" s="42">
        <v>185</v>
      </c>
      <c r="E81" s="42" t="s">
        <v>111</v>
      </c>
      <c r="F81" s="42">
        <v>1000</v>
      </c>
      <c r="G81" s="41"/>
      <c r="H81" s="41"/>
      <c r="I81" s="41"/>
      <c r="K81" s="41"/>
      <c r="M81" s="44">
        <f t="shared" si="1"/>
        <v>1113</v>
      </c>
    </row>
    <row r="82" spans="1:13" x14ac:dyDescent="0.3">
      <c r="A82" s="42"/>
      <c r="B82" s="42">
        <v>1114</v>
      </c>
      <c r="C82" s="46" t="s">
        <v>124</v>
      </c>
      <c r="D82" s="42">
        <v>71</v>
      </c>
      <c r="E82" s="42" t="s">
        <v>111</v>
      </c>
      <c r="F82" s="42">
        <v>450</v>
      </c>
      <c r="G82" s="41"/>
      <c r="H82" s="41"/>
      <c r="I82" s="41"/>
      <c r="K82" s="41"/>
      <c r="M82" s="44">
        <f t="shared" si="1"/>
        <v>1114</v>
      </c>
    </row>
    <row r="83" spans="1:13" x14ac:dyDescent="0.3">
      <c r="A83" s="42"/>
      <c r="B83" s="42">
        <v>1115</v>
      </c>
      <c r="C83" s="46" t="s">
        <v>125</v>
      </c>
      <c r="D83" s="42"/>
      <c r="E83" s="42" t="s">
        <v>111</v>
      </c>
      <c r="F83" s="42">
        <v>270</v>
      </c>
      <c r="G83" s="41"/>
      <c r="H83" s="41"/>
      <c r="I83" s="41"/>
      <c r="K83" s="41"/>
      <c r="M83" s="44">
        <f t="shared" si="1"/>
        <v>1115</v>
      </c>
    </row>
    <row r="84" spans="1:13" x14ac:dyDescent="0.3">
      <c r="A84" s="42"/>
      <c r="B84" s="42">
        <v>1116</v>
      </c>
      <c r="C84" s="46" t="s">
        <v>126</v>
      </c>
      <c r="D84" s="42">
        <v>5</v>
      </c>
      <c r="E84" s="42" t="s">
        <v>111</v>
      </c>
      <c r="F84" s="42">
        <v>3500</v>
      </c>
      <c r="G84" s="41"/>
      <c r="H84" s="41"/>
      <c r="I84" s="41"/>
      <c r="K84" s="41"/>
      <c r="M84" s="44">
        <f t="shared" si="1"/>
        <v>1116</v>
      </c>
    </row>
    <row r="85" spans="1:13" x14ac:dyDescent="0.3">
      <c r="A85" s="42"/>
      <c r="B85" s="42">
        <v>1117</v>
      </c>
      <c r="C85" s="46" t="s">
        <v>127</v>
      </c>
      <c r="D85" s="42">
        <v>2</v>
      </c>
      <c r="E85" s="42" t="s">
        <v>111</v>
      </c>
      <c r="F85" s="42">
        <v>1600</v>
      </c>
      <c r="G85" s="41"/>
      <c r="H85" s="41"/>
      <c r="I85" s="41"/>
      <c r="K85" s="41"/>
      <c r="M85" s="44">
        <f t="shared" si="1"/>
        <v>1117</v>
      </c>
    </row>
    <row r="86" spans="1:13" x14ac:dyDescent="0.3">
      <c r="A86" s="42"/>
      <c r="B86" s="42">
        <v>1118</v>
      </c>
      <c r="C86" s="46" t="s">
        <v>128</v>
      </c>
      <c r="D86" s="42">
        <v>1</v>
      </c>
      <c r="E86" s="42" t="s">
        <v>111</v>
      </c>
      <c r="F86" s="42">
        <v>300</v>
      </c>
      <c r="G86" s="41"/>
      <c r="H86" s="41"/>
      <c r="I86" s="41"/>
      <c r="K86" s="41"/>
      <c r="M86" s="44">
        <f t="shared" si="1"/>
        <v>1118</v>
      </c>
    </row>
    <row r="87" spans="1:13" x14ac:dyDescent="0.3">
      <c r="A87" s="42"/>
      <c r="B87" s="42">
        <v>1119</v>
      </c>
      <c r="C87" s="46" t="s">
        <v>129</v>
      </c>
      <c r="D87" s="42"/>
      <c r="E87" s="42" t="s">
        <v>111</v>
      </c>
      <c r="F87" s="42">
        <v>2000</v>
      </c>
      <c r="G87" s="41"/>
      <c r="H87" s="41"/>
      <c r="I87" s="41"/>
      <c r="K87" s="41"/>
      <c r="M87" s="44">
        <f t="shared" si="1"/>
        <v>1119</v>
      </c>
    </row>
    <row r="88" spans="1:13" x14ac:dyDescent="0.3">
      <c r="A88" s="42"/>
      <c r="B88" s="42">
        <v>1120</v>
      </c>
      <c r="C88" s="46" t="s">
        <v>130</v>
      </c>
      <c r="D88" s="42">
        <v>1</v>
      </c>
      <c r="E88" s="42" t="s">
        <v>111</v>
      </c>
      <c r="F88" s="42">
        <v>25000</v>
      </c>
      <c r="G88" s="41"/>
      <c r="H88" s="41"/>
      <c r="I88" s="41"/>
      <c r="K88" s="41"/>
      <c r="M88" s="44">
        <f t="shared" si="1"/>
        <v>1120</v>
      </c>
    </row>
    <row r="89" spans="1:13" x14ac:dyDescent="0.3">
      <c r="A89" s="42"/>
      <c r="B89" s="42">
        <v>1121</v>
      </c>
      <c r="C89" s="46" t="s">
        <v>131</v>
      </c>
      <c r="D89" s="42"/>
      <c r="E89" s="42" t="s">
        <v>111</v>
      </c>
      <c r="F89" s="42">
        <v>5000</v>
      </c>
      <c r="G89" s="41"/>
      <c r="H89" s="41"/>
      <c r="I89" s="41"/>
      <c r="K89" s="41"/>
      <c r="M89" s="44">
        <f t="shared" si="1"/>
        <v>1121</v>
      </c>
    </row>
    <row r="90" spans="1:13" x14ac:dyDescent="0.3">
      <c r="A90" s="42"/>
      <c r="B90" s="42">
        <v>1122</v>
      </c>
      <c r="C90" s="46" t="s">
        <v>132</v>
      </c>
      <c r="D90" s="42"/>
      <c r="E90" s="42" t="s">
        <v>111</v>
      </c>
      <c r="F90" s="42"/>
      <c r="G90" s="41"/>
      <c r="H90" s="41"/>
      <c r="I90" s="41"/>
      <c r="K90" s="41"/>
      <c r="M90" s="44">
        <f t="shared" si="1"/>
        <v>1122</v>
      </c>
    </row>
    <row r="91" spans="1:13" x14ac:dyDescent="0.3">
      <c r="A91" s="42"/>
      <c r="B91" s="42">
        <v>1123</v>
      </c>
      <c r="C91" s="46" t="s">
        <v>133</v>
      </c>
      <c r="D91" s="42"/>
      <c r="E91" s="42" t="s">
        <v>134</v>
      </c>
      <c r="F91" s="42">
        <v>20000</v>
      </c>
      <c r="G91" s="41"/>
      <c r="H91" s="41"/>
      <c r="I91" s="41"/>
      <c r="K91" s="41"/>
      <c r="M91" s="44">
        <f t="shared" si="1"/>
        <v>1123</v>
      </c>
    </row>
    <row r="92" spans="1:13" x14ac:dyDescent="0.3">
      <c r="A92" s="42"/>
      <c r="B92" s="42">
        <v>1124</v>
      </c>
      <c r="C92" s="46" t="s">
        <v>135</v>
      </c>
      <c r="D92" s="42"/>
      <c r="E92" s="42" t="s">
        <v>134</v>
      </c>
      <c r="F92" s="42"/>
      <c r="G92" s="41"/>
      <c r="H92" s="41"/>
      <c r="I92" s="41"/>
      <c r="K92" s="41"/>
      <c r="M92" s="44">
        <f t="shared" si="1"/>
        <v>1124</v>
      </c>
    </row>
    <row r="93" spans="1:13" x14ac:dyDescent="0.3">
      <c r="A93" s="42"/>
      <c r="B93" s="42">
        <v>1125</v>
      </c>
      <c r="C93" s="46" t="s">
        <v>136</v>
      </c>
      <c r="D93" s="42"/>
      <c r="E93" s="42" t="s">
        <v>111</v>
      </c>
      <c r="F93" s="42">
        <v>900</v>
      </c>
      <c r="G93" s="41"/>
      <c r="H93" s="41"/>
      <c r="I93" s="41"/>
      <c r="K93" s="41"/>
      <c r="M93" s="44">
        <f t="shared" si="1"/>
        <v>1125</v>
      </c>
    </row>
    <row r="94" spans="1:13" x14ac:dyDescent="0.3">
      <c r="A94" s="42"/>
      <c r="B94" s="42">
        <v>1126</v>
      </c>
      <c r="C94" s="46" t="s">
        <v>137</v>
      </c>
      <c r="D94" s="42">
        <v>2</v>
      </c>
      <c r="E94" s="42" t="s">
        <v>111</v>
      </c>
      <c r="F94" s="42">
        <v>440</v>
      </c>
      <c r="G94" s="41"/>
      <c r="H94" s="41"/>
      <c r="I94" s="41"/>
      <c r="K94" s="41"/>
      <c r="M94" s="44">
        <f t="shared" si="1"/>
        <v>1126</v>
      </c>
    </row>
    <row r="95" spans="1:13" x14ac:dyDescent="0.3">
      <c r="A95" s="42"/>
      <c r="B95" s="42">
        <v>1127</v>
      </c>
      <c r="C95" s="46" t="s">
        <v>138</v>
      </c>
      <c r="D95" s="42"/>
      <c r="E95" s="42" t="s">
        <v>111</v>
      </c>
      <c r="F95" s="42">
        <v>1080</v>
      </c>
      <c r="G95" s="41"/>
      <c r="H95" s="41"/>
      <c r="I95" s="41"/>
      <c r="K95" s="41"/>
      <c r="M95" s="44">
        <f t="shared" si="1"/>
        <v>1127</v>
      </c>
    </row>
    <row r="96" spans="1:13" x14ac:dyDescent="0.3">
      <c r="A96" s="42"/>
      <c r="B96" s="42">
        <v>1128</v>
      </c>
      <c r="C96" s="46" t="s">
        <v>139</v>
      </c>
      <c r="D96" s="42"/>
      <c r="E96" s="42" t="s">
        <v>111</v>
      </c>
      <c r="F96" s="42">
        <v>860</v>
      </c>
      <c r="G96" s="41"/>
      <c r="H96" s="41"/>
      <c r="I96" s="41"/>
      <c r="K96" s="41"/>
      <c r="M96" s="44">
        <f t="shared" si="1"/>
        <v>1128</v>
      </c>
    </row>
    <row r="97" spans="1:13" x14ac:dyDescent="0.3">
      <c r="A97" s="42"/>
      <c r="B97" s="42">
        <v>1129</v>
      </c>
      <c r="C97" s="46" t="s">
        <v>140</v>
      </c>
      <c r="D97" s="42"/>
      <c r="E97" s="42" t="s">
        <v>111</v>
      </c>
      <c r="F97" s="42">
        <v>125</v>
      </c>
      <c r="G97" s="41"/>
      <c r="H97" s="41"/>
      <c r="I97" s="41"/>
      <c r="K97" s="41"/>
      <c r="M97" s="44">
        <f t="shared" si="1"/>
        <v>1129</v>
      </c>
    </row>
    <row r="98" spans="1:13" x14ac:dyDescent="0.3">
      <c r="A98" s="42"/>
      <c r="B98" s="42">
        <v>1130</v>
      </c>
      <c r="C98" s="46" t="s">
        <v>141</v>
      </c>
      <c r="D98" s="42">
        <v>1</v>
      </c>
      <c r="E98" s="42" t="s">
        <v>111</v>
      </c>
      <c r="F98" s="42">
        <v>80</v>
      </c>
      <c r="G98" s="41"/>
      <c r="H98" s="41"/>
      <c r="I98" s="41"/>
      <c r="K98" s="41"/>
      <c r="M98" s="44">
        <f t="shared" si="1"/>
        <v>1130</v>
      </c>
    </row>
    <row r="99" spans="1:13" x14ac:dyDescent="0.3">
      <c r="A99" s="42"/>
      <c r="B99" s="42">
        <v>1131</v>
      </c>
      <c r="C99" s="46" t="s">
        <v>142</v>
      </c>
      <c r="D99" s="42"/>
      <c r="E99" s="42" t="s">
        <v>111</v>
      </c>
      <c r="F99" s="42">
        <v>350</v>
      </c>
      <c r="G99" s="41"/>
      <c r="H99" s="41"/>
      <c r="I99" s="41"/>
      <c r="K99" s="41"/>
      <c r="M99" s="44">
        <f t="shared" si="1"/>
        <v>1131</v>
      </c>
    </row>
    <row r="100" spans="1:13" x14ac:dyDescent="0.3">
      <c r="A100" s="42"/>
      <c r="B100" s="42">
        <v>1132</v>
      </c>
      <c r="C100" s="46" t="s">
        <v>143</v>
      </c>
      <c r="D100" s="42">
        <v>1</v>
      </c>
      <c r="E100" s="42" t="s">
        <v>111</v>
      </c>
      <c r="F100" s="42">
        <v>150</v>
      </c>
      <c r="G100" s="41"/>
      <c r="H100" s="41"/>
      <c r="I100" s="41"/>
      <c r="K100" s="41"/>
      <c r="M100" s="44">
        <f t="shared" si="1"/>
        <v>1132</v>
      </c>
    </row>
    <row r="101" spans="1:13" x14ac:dyDescent="0.3">
      <c r="A101" s="42"/>
      <c r="B101" s="42">
        <v>1133</v>
      </c>
      <c r="C101" s="46" t="s">
        <v>144</v>
      </c>
      <c r="D101" s="42">
        <v>3</v>
      </c>
      <c r="E101" s="42" t="s">
        <v>111</v>
      </c>
      <c r="F101" s="42">
        <v>130</v>
      </c>
      <c r="G101" s="41"/>
      <c r="H101" s="41"/>
      <c r="I101" s="41"/>
      <c r="K101" s="41"/>
      <c r="M101" s="44">
        <f t="shared" si="1"/>
        <v>1133</v>
      </c>
    </row>
    <row r="102" spans="1:13" x14ac:dyDescent="0.3">
      <c r="A102" s="42"/>
      <c r="B102" s="42">
        <v>1134</v>
      </c>
      <c r="C102" s="46" t="s">
        <v>145</v>
      </c>
      <c r="D102" s="42">
        <v>10</v>
      </c>
      <c r="E102" s="42" t="s">
        <v>111</v>
      </c>
      <c r="F102" s="42">
        <v>150</v>
      </c>
      <c r="G102" s="41"/>
      <c r="H102" s="41"/>
      <c r="I102" s="41"/>
      <c r="K102" s="41"/>
      <c r="M102" s="44">
        <f t="shared" si="1"/>
        <v>1134</v>
      </c>
    </row>
    <row r="103" spans="1:13" x14ac:dyDescent="0.3">
      <c r="A103" s="42" t="s">
        <v>146</v>
      </c>
      <c r="B103" s="42">
        <v>1201</v>
      </c>
      <c r="C103" s="46" t="s">
        <v>147</v>
      </c>
      <c r="D103" s="42">
        <v>68</v>
      </c>
      <c r="E103" s="42" t="s">
        <v>111</v>
      </c>
      <c r="F103" s="42">
        <v>3000</v>
      </c>
      <c r="G103" s="41"/>
      <c r="H103" s="41"/>
      <c r="I103" s="41"/>
      <c r="K103" s="41"/>
      <c r="M103" s="44">
        <f t="shared" si="1"/>
        <v>1201</v>
      </c>
    </row>
    <row r="104" spans="1:13" x14ac:dyDescent="0.3">
      <c r="A104" s="42"/>
      <c r="B104" s="42">
        <v>1202</v>
      </c>
      <c r="C104" s="46" t="s">
        <v>148</v>
      </c>
      <c r="D104" s="42"/>
      <c r="E104" s="42"/>
      <c r="F104" s="42"/>
      <c r="G104" s="41"/>
      <c r="H104" s="41"/>
      <c r="I104" s="41"/>
      <c r="K104" s="41"/>
      <c r="M104" s="44">
        <f t="shared" si="1"/>
        <v>1202</v>
      </c>
    </row>
    <row r="105" spans="1:13" x14ac:dyDescent="0.3">
      <c r="A105" s="42"/>
      <c r="B105" s="42">
        <v>1203</v>
      </c>
      <c r="C105" s="46" t="s">
        <v>149</v>
      </c>
      <c r="D105" s="42"/>
      <c r="E105" s="42"/>
      <c r="F105" s="42"/>
      <c r="G105" s="41"/>
      <c r="H105" s="41"/>
      <c r="I105" s="41"/>
      <c r="K105" s="41"/>
      <c r="M105" s="44">
        <f t="shared" si="1"/>
        <v>1203</v>
      </c>
    </row>
    <row r="106" spans="1:13" x14ac:dyDescent="0.3">
      <c r="A106" s="42"/>
      <c r="B106" s="42">
        <v>1204</v>
      </c>
      <c r="C106" s="46" t="s">
        <v>150</v>
      </c>
      <c r="D106" s="42"/>
      <c r="E106" s="42"/>
      <c r="F106" s="42"/>
      <c r="G106" s="41"/>
      <c r="H106" s="41"/>
      <c r="I106" s="41"/>
      <c r="K106" s="41"/>
      <c r="M106" s="44">
        <f t="shared" si="1"/>
        <v>1204</v>
      </c>
    </row>
    <row r="107" spans="1:13" x14ac:dyDescent="0.3">
      <c r="A107" s="42" t="s">
        <v>151</v>
      </c>
      <c r="B107" s="42">
        <v>1301</v>
      </c>
      <c r="C107" s="46" t="s">
        <v>152</v>
      </c>
      <c r="D107" s="42"/>
      <c r="E107" s="42" t="s">
        <v>111</v>
      </c>
      <c r="F107" s="42">
        <v>450</v>
      </c>
      <c r="G107" s="41"/>
      <c r="H107" s="41"/>
      <c r="I107" s="41"/>
      <c r="K107" s="41"/>
      <c r="M107" s="44">
        <f t="shared" si="1"/>
        <v>1301</v>
      </c>
    </row>
    <row r="108" spans="1:13" x14ac:dyDescent="0.3">
      <c r="A108" s="42"/>
      <c r="B108" s="42">
        <v>1302</v>
      </c>
      <c r="C108" s="46" t="s">
        <v>153</v>
      </c>
      <c r="D108" s="42"/>
      <c r="E108" s="42" t="s">
        <v>111</v>
      </c>
      <c r="F108" s="42">
        <v>280</v>
      </c>
      <c r="G108" s="41"/>
      <c r="H108" s="41"/>
      <c r="I108" s="41"/>
      <c r="K108" s="41"/>
      <c r="M108" s="44">
        <f t="shared" si="1"/>
        <v>1302</v>
      </c>
    </row>
    <row r="109" spans="1:13" x14ac:dyDescent="0.3">
      <c r="A109" s="42"/>
      <c r="B109" s="42">
        <v>1303</v>
      </c>
      <c r="C109" s="46" t="s">
        <v>154</v>
      </c>
      <c r="D109" s="42">
        <v>1</v>
      </c>
      <c r="E109" s="42" t="s">
        <v>111</v>
      </c>
      <c r="F109" s="42">
        <v>9000</v>
      </c>
      <c r="G109" s="41"/>
      <c r="H109" s="41"/>
      <c r="I109" s="41"/>
      <c r="K109" s="41"/>
      <c r="M109" s="44">
        <f t="shared" si="1"/>
        <v>1303</v>
      </c>
    </row>
    <row r="110" spans="1:13" x14ac:dyDescent="0.3">
      <c r="A110" s="42"/>
      <c r="B110" s="42">
        <v>1304</v>
      </c>
      <c r="C110" s="46" t="s">
        <v>155</v>
      </c>
      <c r="D110" s="42"/>
      <c r="E110" s="42" t="s">
        <v>111</v>
      </c>
      <c r="F110" s="42">
        <v>3500</v>
      </c>
      <c r="G110" s="41"/>
      <c r="H110" s="41"/>
      <c r="I110" s="41"/>
      <c r="K110" s="41"/>
      <c r="M110" s="44">
        <f t="shared" si="1"/>
        <v>1304</v>
      </c>
    </row>
    <row r="111" spans="1:13" x14ac:dyDescent="0.3">
      <c r="A111" s="42"/>
      <c r="B111" s="42">
        <v>1305</v>
      </c>
      <c r="C111" s="46" t="s">
        <v>156</v>
      </c>
      <c r="D111" s="42"/>
      <c r="E111" s="42" t="s">
        <v>111</v>
      </c>
      <c r="F111" s="42">
        <v>5</v>
      </c>
      <c r="G111" s="41"/>
      <c r="H111" s="41"/>
      <c r="I111" s="41"/>
      <c r="K111" s="41"/>
      <c r="M111" s="44">
        <f t="shared" si="1"/>
        <v>1305</v>
      </c>
    </row>
    <row r="112" spans="1:13" x14ac:dyDescent="0.3">
      <c r="A112" s="42"/>
      <c r="B112" s="42">
        <v>1306</v>
      </c>
      <c r="C112" s="46" t="s">
        <v>157</v>
      </c>
      <c r="D112" s="42"/>
      <c r="E112" s="42" t="s">
        <v>111</v>
      </c>
      <c r="F112" s="42">
        <v>15</v>
      </c>
      <c r="G112" s="41"/>
      <c r="H112" s="41"/>
      <c r="I112" s="41"/>
      <c r="K112" s="41"/>
      <c r="M112" s="44">
        <f t="shared" si="1"/>
        <v>1306</v>
      </c>
    </row>
    <row r="113" spans="1:13" x14ac:dyDescent="0.3">
      <c r="A113" s="42"/>
      <c r="B113" s="42">
        <v>1307</v>
      </c>
      <c r="C113" s="46" t="s">
        <v>158</v>
      </c>
      <c r="D113" s="42"/>
      <c r="E113" s="42" t="s">
        <v>111</v>
      </c>
      <c r="F113" s="42">
        <v>1250</v>
      </c>
      <c r="G113" s="41"/>
      <c r="H113" s="41"/>
      <c r="I113" s="41"/>
      <c r="K113" s="41"/>
      <c r="M113" s="44">
        <f t="shared" si="1"/>
        <v>1307</v>
      </c>
    </row>
    <row r="114" spans="1:13" x14ac:dyDescent="0.3">
      <c r="A114" s="42"/>
      <c r="B114" s="42">
        <v>1308</v>
      </c>
      <c r="C114" s="46" t="s">
        <v>159</v>
      </c>
      <c r="D114" s="42">
        <v>1</v>
      </c>
      <c r="E114" s="42" t="s">
        <v>111</v>
      </c>
      <c r="F114" s="42">
        <v>375</v>
      </c>
      <c r="G114" s="41"/>
      <c r="H114" s="41"/>
      <c r="I114" s="41"/>
      <c r="K114" s="41"/>
      <c r="M114" s="44">
        <f t="shared" si="1"/>
        <v>1308</v>
      </c>
    </row>
    <row r="115" spans="1:13" x14ac:dyDescent="0.3">
      <c r="A115" s="42"/>
      <c r="B115" s="42">
        <v>1309</v>
      </c>
      <c r="C115" s="46" t="s">
        <v>160</v>
      </c>
      <c r="D115" s="42">
        <v>1</v>
      </c>
      <c r="E115" s="42" t="s">
        <v>111</v>
      </c>
      <c r="F115" s="42">
        <v>40</v>
      </c>
      <c r="G115" s="41"/>
      <c r="H115" s="41"/>
      <c r="I115" s="41"/>
      <c r="K115" s="41"/>
      <c r="M115" s="44">
        <f t="shared" si="1"/>
        <v>1309</v>
      </c>
    </row>
    <row r="116" spans="1:13" x14ac:dyDescent="0.3">
      <c r="A116" s="42"/>
      <c r="B116" s="42">
        <v>1310</v>
      </c>
      <c r="C116" s="46" t="s">
        <v>161</v>
      </c>
      <c r="D116" s="42"/>
      <c r="E116" s="42" t="s">
        <v>111</v>
      </c>
      <c r="F116" s="42">
        <v>320</v>
      </c>
      <c r="G116" s="41"/>
      <c r="H116" s="41"/>
      <c r="I116" s="41"/>
      <c r="K116" s="41"/>
      <c r="M116" s="44">
        <f t="shared" si="1"/>
        <v>1310</v>
      </c>
    </row>
    <row r="117" spans="1:13" x14ac:dyDescent="0.3">
      <c r="A117" s="42"/>
      <c r="B117" s="42">
        <v>1311</v>
      </c>
      <c r="C117" s="46" t="s">
        <v>162</v>
      </c>
      <c r="D117" s="42">
        <v>3</v>
      </c>
      <c r="E117" s="42" t="s">
        <v>111</v>
      </c>
      <c r="F117" s="42">
        <v>270</v>
      </c>
      <c r="G117" s="41"/>
      <c r="H117" s="41"/>
      <c r="I117" s="41"/>
      <c r="K117" s="41"/>
      <c r="M117" s="44">
        <f t="shared" si="1"/>
        <v>1311</v>
      </c>
    </row>
    <row r="118" spans="1:13" x14ac:dyDescent="0.3">
      <c r="A118" s="42"/>
      <c r="B118" s="42">
        <v>1312</v>
      </c>
      <c r="C118" s="46" t="s">
        <v>163</v>
      </c>
      <c r="D118" s="42">
        <v>2</v>
      </c>
      <c r="E118" s="42" t="s">
        <v>111</v>
      </c>
      <c r="F118" s="42">
        <v>120</v>
      </c>
      <c r="G118" s="41"/>
      <c r="H118" s="41"/>
      <c r="I118" s="41"/>
      <c r="K118" s="41"/>
      <c r="M118" s="44">
        <f t="shared" si="1"/>
        <v>1312</v>
      </c>
    </row>
    <row r="119" spans="1:13" x14ac:dyDescent="0.3">
      <c r="A119" s="42"/>
      <c r="B119" s="42">
        <v>1313</v>
      </c>
      <c r="C119" s="46" t="s">
        <v>164</v>
      </c>
      <c r="D119" s="42"/>
      <c r="E119" s="42" t="s">
        <v>111</v>
      </c>
      <c r="F119" s="42">
        <v>450</v>
      </c>
      <c r="G119" s="41"/>
      <c r="H119" s="41"/>
      <c r="I119" s="41"/>
      <c r="K119" s="41"/>
      <c r="M119" s="44">
        <f t="shared" si="1"/>
        <v>1313</v>
      </c>
    </row>
    <row r="120" spans="1:13" x14ac:dyDescent="0.3">
      <c r="A120" s="42"/>
      <c r="B120" s="42">
        <v>1314</v>
      </c>
      <c r="C120" s="46" t="s">
        <v>165</v>
      </c>
      <c r="D120" s="42">
        <v>1</v>
      </c>
      <c r="E120" s="42" t="s">
        <v>111</v>
      </c>
      <c r="F120" s="42">
        <v>1150</v>
      </c>
      <c r="G120" s="41"/>
      <c r="H120" s="41"/>
      <c r="I120" s="41"/>
      <c r="K120" s="41"/>
      <c r="M120" s="44">
        <f t="shared" si="1"/>
        <v>1314</v>
      </c>
    </row>
    <row r="121" spans="1:13" x14ac:dyDescent="0.3">
      <c r="A121" s="42"/>
      <c r="B121" s="42">
        <v>1315</v>
      </c>
      <c r="C121" s="46" t="s">
        <v>166</v>
      </c>
      <c r="D121" s="42"/>
      <c r="E121" s="42" t="s">
        <v>111</v>
      </c>
      <c r="F121" s="42">
        <v>50</v>
      </c>
      <c r="G121" s="41"/>
      <c r="H121" s="41"/>
      <c r="I121" s="41"/>
      <c r="K121" s="41"/>
      <c r="M121" s="44">
        <f t="shared" si="1"/>
        <v>1315</v>
      </c>
    </row>
    <row r="122" spans="1:13" x14ac:dyDescent="0.3">
      <c r="A122" s="42"/>
      <c r="B122" s="42">
        <v>1316</v>
      </c>
      <c r="C122" s="46" t="s">
        <v>167</v>
      </c>
      <c r="D122" s="42"/>
      <c r="E122" s="42" t="s">
        <v>111</v>
      </c>
      <c r="F122" s="42">
        <v>48</v>
      </c>
      <c r="G122" s="41"/>
      <c r="H122" s="41"/>
      <c r="I122" s="41"/>
      <c r="K122" s="41"/>
      <c r="M122" s="44">
        <f t="shared" si="1"/>
        <v>1316</v>
      </c>
    </row>
    <row r="123" spans="1:13" x14ac:dyDescent="0.3">
      <c r="A123" s="42"/>
      <c r="B123" s="42">
        <v>1317</v>
      </c>
      <c r="C123" s="46" t="s">
        <v>168</v>
      </c>
      <c r="D123" s="42"/>
      <c r="E123" s="42" t="s">
        <v>111</v>
      </c>
      <c r="F123" s="42">
        <v>80</v>
      </c>
      <c r="G123" s="41"/>
      <c r="H123" s="41"/>
      <c r="I123" s="41"/>
      <c r="K123" s="41"/>
      <c r="M123" s="44">
        <f t="shared" si="1"/>
        <v>1317</v>
      </c>
    </row>
    <row r="124" spans="1:13" x14ac:dyDescent="0.3">
      <c r="A124" s="42"/>
      <c r="B124" s="42">
        <v>1318</v>
      </c>
      <c r="C124" s="46" t="s">
        <v>169</v>
      </c>
      <c r="D124" s="42">
        <v>1</v>
      </c>
      <c r="E124" s="42" t="s">
        <v>111</v>
      </c>
      <c r="F124" s="42">
        <v>100</v>
      </c>
      <c r="G124" s="41"/>
      <c r="H124" s="41"/>
      <c r="I124" s="41"/>
      <c r="K124" s="41"/>
      <c r="M124" s="44">
        <f t="shared" si="1"/>
        <v>1318</v>
      </c>
    </row>
    <row r="125" spans="1:13" x14ac:dyDescent="0.3">
      <c r="A125" s="42"/>
      <c r="B125" s="42">
        <v>1319</v>
      </c>
      <c r="C125" s="46" t="s">
        <v>170</v>
      </c>
      <c r="D125" s="42">
        <v>1</v>
      </c>
      <c r="E125" s="42" t="s">
        <v>111</v>
      </c>
      <c r="F125" s="42">
        <v>30</v>
      </c>
      <c r="G125" s="41"/>
      <c r="H125" s="41"/>
      <c r="I125" s="41"/>
      <c r="K125" s="41"/>
      <c r="M125" s="44">
        <f t="shared" si="1"/>
        <v>1319</v>
      </c>
    </row>
    <row r="126" spans="1:13" x14ac:dyDescent="0.3">
      <c r="A126" s="42"/>
      <c r="B126" s="42">
        <v>1320</v>
      </c>
      <c r="C126" s="46" t="s">
        <v>171</v>
      </c>
      <c r="D126" s="42"/>
      <c r="E126" s="42" t="s">
        <v>44</v>
      </c>
      <c r="F126" s="42">
        <v>200</v>
      </c>
      <c r="G126" s="41"/>
      <c r="H126" s="41"/>
      <c r="I126" s="41"/>
      <c r="K126" s="41"/>
      <c r="M126" s="44">
        <f t="shared" si="1"/>
        <v>1320</v>
      </c>
    </row>
    <row r="127" spans="1:13" x14ac:dyDescent="0.3">
      <c r="A127" s="42"/>
      <c r="B127" s="42">
        <v>1321</v>
      </c>
      <c r="C127" s="46" t="s">
        <v>172</v>
      </c>
      <c r="D127" s="42"/>
      <c r="E127" s="42" t="s">
        <v>44</v>
      </c>
      <c r="F127" s="42">
        <v>880</v>
      </c>
      <c r="G127" s="41"/>
      <c r="H127" s="41"/>
      <c r="I127" s="41"/>
      <c r="K127" s="41"/>
      <c r="M127" s="44">
        <f t="shared" si="1"/>
        <v>1321</v>
      </c>
    </row>
    <row r="128" spans="1:13" x14ac:dyDescent="0.3">
      <c r="A128" s="42" t="s">
        <v>173</v>
      </c>
      <c r="B128" s="42">
        <v>1401</v>
      </c>
      <c r="C128" s="46" t="s">
        <v>174</v>
      </c>
      <c r="D128" s="42">
        <v>8</v>
      </c>
      <c r="E128" s="42" t="s">
        <v>111</v>
      </c>
      <c r="F128" s="42">
        <v>1460</v>
      </c>
      <c r="G128" s="41"/>
      <c r="H128" s="41"/>
      <c r="I128" s="41"/>
      <c r="K128" s="41"/>
      <c r="M128" s="44">
        <f t="shared" si="1"/>
        <v>1401</v>
      </c>
    </row>
    <row r="129" spans="1:13" x14ac:dyDescent="0.3">
      <c r="A129" s="42"/>
      <c r="B129" s="42">
        <v>1402</v>
      </c>
      <c r="C129" s="46" t="s">
        <v>175</v>
      </c>
      <c r="D129" s="42"/>
      <c r="E129" s="42" t="s">
        <v>111</v>
      </c>
      <c r="F129" s="42">
        <v>8130</v>
      </c>
      <c r="G129" s="41"/>
      <c r="H129" s="41"/>
      <c r="I129" s="41"/>
      <c r="K129" s="41"/>
      <c r="M129" s="44">
        <f t="shared" si="1"/>
        <v>1402</v>
      </c>
    </row>
    <row r="130" spans="1:13" x14ac:dyDescent="0.3">
      <c r="A130" s="42"/>
      <c r="B130" s="42">
        <v>1403</v>
      </c>
      <c r="C130" s="46" t="s">
        <v>176</v>
      </c>
      <c r="D130" s="42">
        <v>1</v>
      </c>
      <c r="E130" s="42" t="s">
        <v>111</v>
      </c>
      <c r="F130" s="42">
        <v>2200</v>
      </c>
      <c r="G130" s="41"/>
      <c r="H130" s="41"/>
      <c r="I130" s="41"/>
      <c r="K130" s="41"/>
      <c r="M130" s="44">
        <f t="shared" si="1"/>
        <v>1403</v>
      </c>
    </row>
    <row r="131" spans="1:13" x14ac:dyDescent="0.3">
      <c r="A131" s="42"/>
      <c r="B131" s="42">
        <v>1404</v>
      </c>
      <c r="C131" s="46" t="s">
        <v>177</v>
      </c>
      <c r="D131" s="42"/>
      <c r="E131" s="42" t="s">
        <v>111</v>
      </c>
      <c r="F131" s="42">
        <v>3300</v>
      </c>
      <c r="G131" s="41"/>
      <c r="H131" s="41"/>
      <c r="I131" s="41"/>
      <c r="K131" s="41"/>
      <c r="M131" s="44">
        <f t="shared" ref="M131:M194" si="2">IF($B$3:$B$1522&lt;&gt;"",$B$3:$B$1522,"")</f>
        <v>1404</v>
      </c>
    </row>
    <row r="132" spans="1:13" x14ac:dyDescent="0.3">
      <c r="A132" s="42"/>
      <c r="B132" s="42">
        <v>1405</v>
      </c>
      <c r="C132" s="46" t="s">
        <v>178</v>
      </c>
      <c r="D132" s="42"/>
      <c r="E132" s="42" t="s">
        <v>111</v>
      </c>
      <c r="F132" s="42">
        <v>5700</v>
      </c>
      <c r="G132" s="41"/>
      <c r="H132" s="41"/>
      <c r="I132" s="41"/>
      <c r="K132" s="41"/>
      <c r="M132" s="44">
        <f t="shared" si="2"/>
        <v>1405</v>
      </c>
    </row>
    <row r="133" spans="1:13" x14ac:dyDescent="0.3">
      <c r="A133" s="42"/>
      <c r="B133" s="42">
        <v>1406</v>
      </c>
      <c r="C133" s="46" t="s">
        <v>179</v>
      </c>
      <c r="D133" s="42"/>
      <c r="E133" s="42" t="s">
        <v>111</v>
      </c>
      <c r="F133" s="42">
        <v>4500</v>
      </c>
      <c r="G133" s="41"/>
      <c r="H133" s="41"/>
      <c r="I133" s="41"/>
      <c r="K133" s="41"/>
      <c r="M133" s="44">
        <f t="shared" si="2"/>
        <v>1406</v>
      </c>
    </row>
    <row r="134" spans="1:13" x14ac:dyDescent="0.3">
      <c r="A134" s="42"/>
      <c r="B134" s="42">
        <v>1407</v>
      </c>
      <c r="C134" s="46" t="s">
        <v>180</v>
      </c>
      <c r="D134" s="42"/>
      <c r="E134" s="42" t="s">
        <v>111</v>
      </c>
      <c r="F134" s="42">
        <v>700</v>
      </c>
      <c r="G134" s="41"/>
      <c r="H134" s="41"/>
      <c r="I134" s="41"/>
      <c r="K134" s="41"/>
      <c r="M134" s="44">
        <f t="shared" si="2"/>
        <v>1407</v>
      </c>
    </row>
    <row r="135" spans="1:13" x14ac:dyDescent="0.3">
      <c r="A135" s="42"/>
      <c r="B135" s="42">
        <v>1408</v>
      </c>
      <c r="C135" s="46" t="s">
        <v>181</v>
      </c>
      <c r="D135" s="42"/>
      <c r="E135" s="42"/>
      <c r="F135" s="42">
        <v>600</v>
      </c>
      <c r="G135" s="41"/>
      <c r="H135" s="41"/>
      <c r="I135" s="41"/>
      <c r="K135" s="41"/>
      <c r="M135" s="44">
        <f t="shared" si="2"/>
        <v>1408</v>
      </c>
    </row>
    <row r="136" spans="1:13" x14ac:dyDescent="0.3">
      <c r="A136" s="42"/>
      <c r="B136" s="42">
        <v>1409</v>
      </c>
      <c r="C136" s="46" t="s">
        <v>182</v>
      </c>
      <c r="D136" s="42"/>
      <c r="E136" s="42" t="s">
        <v>111</v>
      </c>
      <c r="F136" s="42">
        <v>10800</v>
      </c>
      <c r="G136" s="41"/>
      <c r="H136" s="41"/>
      <c r="I136" s="41"/>
      <c r="K136" s="41"/>
      <c r="M136" s="44">
        <f t="shared" si="2"/>
        <v>1409</v>
      </c>
    </row>
    <row r="137" spans="1:13" x14ac:dyDescent="0.3">
      <c r="A137" s="42"/>
      <c r="B137" s="42">
        <v>1410</v>
      </c>
      <c r="C137" s="46" t="s">
        <v>183</v>
      </c>
      <c r="D137" s="42"/>
      <c r="E137" s="42" t="s">
        <v>111</v>
      </c>
      <c r="F137" s="42"/>
      <c r="G137" s="41"/>
      <c r="H137" s="41"/>
      <c r="I137" s="41"/>
      <c r="K137" s="41"/>
      <c r="M137" s="44">
        <f t="shared" si="2"/>
        <v>1410</v>
      </c>
    </row>
    <row r="138" spans="1:13" x14ac:dyDescent="0.3">
      <c r="A138" s="42"/>
      <c r="B138" s="42">
        <v>1411</v>
      </c>
      <c r="C138" s="46" t="s">
        <v>184</v>
      </c>
      <c r="D138" s="42"/>
      <c r="E138" s="42" t="s">
        <v>111</v>
      </c>
      <c r="F138" s="42"/>
      <c r="G138" s="41"/>
      <c r="H138" s="41"/>
      <c r="I138" s="41"/>
      <c r="K138" s="41"/>
      <c r="M138" s="44">
        <f t="shared" si="2"/>
        <v>1411</v>
      </c>
    </row>
    <row r="139" spans="1:13" x14ac:dyDescent="0.3">
      <c r="A139" s="42"/>
      <c r="B139" s="42">
        <v>1412</v>
      </c>
      <c r="C139" s="46" t="s">
        <v>185</v>
      </c>
      <c r="D139" s="42"/>
      <c r="E139" s="42" t="s">
        <v>111</v>
      </c>
      <c r="F139" s="42">
        <v>1000</v>
      </c>
      <c r="G139" s="41"/>
      <c r="H139" s="41"/>
      <c r="I139" s="41"/>
      <c r="K139" s="41"/>
      <c r="M139" s="44">
        <f t="shared" si="2"/>
        <v>1412</v>
      </c>
    </row>
    <row r="140" spans="1:13" x14ac:dyDescent="0.3">
      <c r="A140" s="42"/>
      <c r="B140" s="42">
        <v>1413</v>
      </c>
      <c r="C140" s="46" t="s">
        <v>186</v>
      </c>
      <c r="D140" s="42"/>
      <c r="E140" s="42" t="s">
        <v>111</v>
      </c>
      <c r="F140" s="42">
        <v>450</v>
      </c>
      <c r="G140" s="41"/>
      <c r="H140" s="41"/>
      <c r="I140" s="41"/>
      <c r="K140" s="41"/>
      <c r="M140" s="44">
        <f t="shared" si="2"/>
        <v>1413</v>
      </c>
    </row>
    <row r="141" spans="1:13" x14ac:dyDescent="0.3">
      <c r="A141" s="42"/>
      <c r="B141" s="42">
        <v>1414</v>
      </c>
      <c r="C141" s="46" t="s">
        <v>187</v>
      </c>
      <c r="D141" s="42">
        <v>3</v>
      </c>
      <c r="E141" s="42" t="s">
        <v>111</v>
      </c>
      <c r="F141" s="42">
        <v>170</v>
      </c>
      <c r="G141" s="41"/>
      <c r="H141" s="41"/>
      <c r="I141" s="41"/>
      <c r="K141" s="41"/>
      <c r="M141" s="44">
        <f t="shared" si="2"/>
        <v>1414</v>
      </c>
    </row>
    <row r="142" spans="1:13" x14ac:dyDescent="0.3">
      <c r="A142" s="42"/>
      <c r="B142" s="42">
        <v>1415</v>
      </c>
      <c r="C142" s="46" t="s">
        <v>188</v>
      </c>
      <c r="D142" s="42"/>
      <c r="E142" s="42" t="s">
        <v>111</v>
      </c>
      <c r="F142" s="42">
        <v>120</v>
      </c>
      <c r="G142" s="41"/>
      <c r="H142" s="41"/>
      <c r="I142" s="41"/>
      <c r="K142" s="41"/>
      <c r="M142" s="44">
        <f t="shared" si="2"/>
        <v>1415</v>
      </c>
    </row>
    <row r="143" spans="1:13" x14ac:dyDescent="0.3">
      <c r="A143" s="42"/>
      <c r="B143" s="42">
        <v>1416</v>
      </c>
      <c r="C143" s="46" t="s">
        <v>189</v>
      </c>
      <c r="D143" s="42"/>
      <c r="E143" s="42" t="s">
        <v>111</v>
      </c>
      <c r="F143" s="42"/>
      <c r="G143" s="41"/>
      <c r="H143" s="41"/>
      <c r="I143" s="41"/>
      <c r="K143" s="41"/>
      <c r="M143" s="44">
        <f t="shared" si="2"/>
        <v>1416</v>
      </c>
    </row>
    <row r="144" spans="1:13" x14ac:dyDescent="0.3">
      <c r="A144" s="42"/>
      <c r="B144" s="42">
        <v>1417</v>
      </c>
      <c r="C144" s="46" t="s">
        <v>190</v>
      </c>
      <c r="D144" s="42"/>
      <c r="E144" s="42" t="s">
        <v>111</v>
      </c>
      <c r="F144" s="42">
        <v>2800</v>
      </c>
      <c r="G144" s="41"/>
      <c r="H144" s="41"/>
      <c r="I144" s="41"/>
      <c r="K144" s="41"/>
      <c r="M144" s="44">
        <f t="shared" si="2"/>
        <v>1417</v>
      </c>
    </row>
    <row r="145" spans="1:13" x14ac:dyDescent="0.3">
      <c r="A145" s="42"/>
      <c r="B145" s="42">
        <v>1418</v>
      </c>
      <c r="C145" s="46" t="s">
        <v>191</v>
      </c>
      <c r="D145" s="42"/>
      <c r="E145" s="42" t="s">
        <v>111</v>
      </c>
      <c r="F145" s="42">
        <v>150</v>
      </c>
      <c r="G145" s="41"/>
      <c r="H145" s="41"/>
      <c r="I145" s="41"/>
      <c r="K145" s="41"/>
      <c r="M145" s="44">
        <f t="shared" si="2"/>
        <v>1418</v>
      </c>
    </row>
    <row r="146" spans="1:13" x14ac:dyDescent="0.3">
      <c r="A146" s="42"/>
      <c r="B146" s="42">
        <v>1419</v>
      </c>
      <c r="C146" s="46" t="s">
        <v>192</v>
      </c>
      <c r="D146" s="42"/>
      <c r="E146" s="42" t="s">
        <v>111</v>
      </c>
      <c r="F146" s="42">
        <v>400</v>
      </c>
      <c r="G146" s="41"/>
      <c r="H146" s="41"/>
      <c r="I146" s="41"/>
      <c r="K146" s="41"/>
      <c r="M146" s="44">
        <f t="shared" si="2"/>
        <v>1419</v>
      </c>
    </row>
    <row r="147" spans="1:13" x14ac:dyDescent="0.3">
      <c r="A147" s="42"/>
      <c r="B147" s="42">
        <v>1420</v>
      </c>
      <c r="C147" s="46" t="s">
        <v>193</v>
      </c>
      <c r="D147" s="42"/>
      <c r="E147" s="42" t="s">
        <v>111</v>
      </c>
      <c r="F147" s="42">
        <v>500</v>
      </c>
      <c r="G147" s="41"/>
      <c r="H147" s="41"/>
      <c r="I147" s="41"/>
      <c r="K147" s="41"/>
      <c r="M147" s="44">
        <f t="shared" si="2"/>
        <v>1420</v>
      </c>
    </row>
    <row r="148" spans="1:13" x14ac:dyDescent="0.3">
      <c r="A148" s="42"/>
      <c r="B148" s="42">
        <v>1421</v>
      </c>
      <c r="C148" s="46" t="s">
        <v>194</v>
      </c>
      <c r="D148" s="42">
        <v>3</v>
      </c>
      <c r="E148" s="42" t="s">
        <v>111</v>
      </c>
      <c r="F148" s="42">
        <v>150</v>
      </c>
      <c r="G148" s="41"/>
      <c r="H148" s="41"/>
      <c r="I148" s="41"/>
      <c r="K148" s="41"/>
      <c r="M148" s="44">
        <f t="shared" si="2"/>
        <v>1421</v>
      </c>
    </row>
    <row r="149" spans="1:13" x14ac:dyDescent="0.3">
      <c r="A149" s="42"/>
      <c r="B149" s="42">
        <v>1422</v>
      </c>
      <c r="C149" s="46" t="s">
        <v>195</v>
      </c>
      <c r="D149" s="42">
        <v>2</v>
      </c>
      <c r="E149" s="42" t="s">
        <v>111</v>
      </c>
      <c r="F149" s="42">
        <v>150</v>
      </c>
      <c r="G149" s="41"/>
      <c r="H149" s="41"/>
      <c r="I149" s="41"/>
      <c r="K149" s="41"/>
      <c r="M149" s="44">
        <f t="shared" si="2"/>
        <v>1422</v>
      </c>
    </row>
    <row r="150" spans="1:13" x14ac:dyDescent="0.3">
      <c r="A150" s="42"/>
      <c r="B150" s="42">
        <v>1423</v>
      </c>
      <c r="C150" s="46" t="s">
        <v>91</v>
      </c>
      <c r="D150" s="42"/>
      <c r="E150" s="42" t="s">
        <v>111</v>
      </c>
      <c r="F150" s="42">
        <v>50</v>
      </c>
      <c r="G150" s="41"/>
      <c r="H150" s="41"/>
      <c r="I150" s="41"/>
      <c r="K150" s="41"/>
      <c r="M150" s="44">
        <f t="shared" si="2"/>
        <v>1423</v>
      </c>
    </row>
    <row r="151" spans="1:13" x14ac:dyDescent="0.3">
      <c r="A151" s="42"/>
      <c r="B151" s="42">
        <v>1424</v>
      </c>
      <c r="C151" s="46" t="s">
        <v>196</v>
      </c>
      <c r="D151" s="42"/>
      <c r="E151" s="42" t="s">
        <v>111</v>
      </c>
      <c r="F151" s="42"/>
      <c r="G151" s="41"/>
      <c r="H151" s="41"/>
      <c r="I151" s="41"/>
      <c r="K151" s="41"/>
      <c r="M151" s="44">
        <f t="shared" si="2"/>
        <v>1424</v>
      </c>
    </row>
    <row r="152" spans="1:13" x14ac:dyDescent="0.3">
      <c r="A152" s="42"/>
      <c r="B152" s="42">
        <v>1425</v>
      </c>
      <c r="C152" s="46" t="s">
        <v>197</v>
      </c>
      <c r="D152" s="42"/>
      <c r="E152" s="42" t="s">
        <v>111</v>
      </c>
      <c r="F152" s="42"/>
      <c r="G152" s="41"/>
      <c r="H152" s="41"/>
      <c r="I152" s="41"/>
      <c r="K152" s="41"/>
      <c r="M152" s="44">
        <f t="shared" si="2"/>
        <v>1425</v>
      </c>
    </row>
    <row r="153" spans="1:13" x14ac:dyDescent="0.3">
      <c r="A153" s="42"/>
      <c r="B153" s="42">
        <v>1426</v>
      </c>
      <c r="C153" s="46" t="s">
        <v>198</v>
      </c>
      <c r="D153" s="42"/>
      <c r="E153" s="42" t="s">
        <v>111</v>
      </c>
      <c r="F153" s="42"/>
      <c r="G153" s="41"/>
      <c r="H153" s="41"/>
      <c r="I153" s="41"/>
      <c r="K153" s="41"/>
      <c r="M153" s="44">
        <f t="shared" si="2"/>
        <v>1426</v>
      </c>
    </row>
    <row r="154" spans="1:13" x14ac:dyDescent="0.3">
      <c r="A154" s="42"/>
      <c r="B154" s="42">
        <v>1427</v>
      </c>
      <c r="C154" s="46" t="s">
        <v>199</v>
      </c>
      <c r="D154" s="42"/>
      <c r="E154" s="42" t="s">
        <v>111</v>
      </c>
      <c r="F154" s="42">
        <v>150</v>
      </c>
      <c r="G154" s="41"/>
      <c r="H154" s="41"/>
      <c r="I154" s="41"/>
      <c r="K154" s="41"/>
      <c r="M154" s="44">
        <f t="shared" si="2"/>
        <v>1427</v>
      </c>
    </row>
    <row r="155" spans="1:13" x14ac:dyDescent="0.3">
      <c r="A155" s="42"/>
      <c r="B155" s="42">
        <v>1428</v>
      </c>
      <c r="C155" s="46" t="s">
        <v>200</v>
      </c>
      <c r="D155" s="42"/>
      <c r="E155" s="42" t="s">
        <v>111</v>
      </c>
      <c r="F155" s="42"/>
      <c r="G155" s="41"/>
      <c r="H155" s="41"/>
      <c r="I155" s="41"/>
      <c r="K155" s="41"/>
      <c r="M155" s="44">
        <f t="shared" si="2"/>
        <v>1428</v>
      </c>
    </row>
    <row r="156" spans="1:13" x14ac:dyDescent="0.3">
      <c r="A156" s="42"/>
      <c r="B156" s="42">
        <v>1429</v>
      </c>
      <c r="C156" s="46" t="s">
        <v>201</v>
      </c>
      <c r="D156" s="42"/>
      <c r="E156" s="42" t="s">
        <v>111</v>
      </c>
      <c r="F156" s="42">
        <v>150</v>
      </c>
      <c r="G156" s="41"/>
      <c r="H156" s="41"/>
      <c r="I156" s="41"/>
      <c r="K156" s="41"/>
      <c r="M156" s="44">
        <f t="shared" si="2"/>
        <v>1429</v>
      </c>
    </row>
    <row r="157" spans="1:13" x14ac:dyDescent="0.3">
      <c r="A157" s="42"/>
      <c r="B157" s="42">
        <v>1430</v>
      </c>
      <c r="C157" s="46" t="s">
        <v>202</v>
      </c>
      <c r="D157" s="42"/>
      <c r="E157" s="42" t="s">
        <v>111</v>
      </c>
      <c r="F157" s="42">
        <v>200</v>
      </c>
      <c r="G157" s="41"/>
      <c r="H157" s="41"/>
      <c r="I157" s="41"/>
      <c r="K157" s="41"/>
      <c r="M157" s="44">
        <f t="shared" si="2"/>
        <v>1430</v>
      </c>
    </row>
    <row r="158" spans="1:13" x14ac:dyDescent="0.3">
      <c r="A158" s="42"/>
      <c r="B158" s="42">
        <v>1431</v>
      </c>
      <c r="C158" s="46" t="s">
        <v>204</v>
      </c>
      <c r="D158" s="42"/>
      <c r="E158" s="42" t="s">
        <v>111</v>
      </c>
      <c r="F158" s="42">
        <v>2760</v>
      </c>
      <c r="G158" s="41"/>
      <c r="H158" s="41"/>
      <c r="I158" s="41"/>
      <c r="K158" s="41"/>
      <c r="M158" s="44">
        <f t="shared" si="2"/>
        <v>1431</v>
      </c>
    </row>
    <row r="159" spans="1:13" x14ac:dyDescent="0.3">
      <c r="A159" s="42"/>
      <c r="B159" s="42">
        <v>1501</v>
      </c>
      <c r="C159" s="46" t="s">
        <v>205</v>
      </c>
      <c r="D159" s="42"/>
      <c r="E159" s="42" t="s">
        <v>111</v>
      </c>
      <c r="F159" s="42">
        <v>115</v>
      </c>
      <c r="G159" s="41"/>
      <c r="H159" s="41"/>
      <c r="I159" s="41"/>
      <c r="K159" s="41"/>
      <c r="M159" s="44">
        <f t="shared" si="2"/>
        <v>1501</v>
      </c>
    </row>
    <row r="160" spans="1:13" x14ac:dyDescent="0.3">
      <c r="A160" s="42"/>
      <c r="B160" s="42">
        <v>1502</v>
      </c>
      <c r="C160" s="46" t="s">
        <v>206</v>
      </c>
      <c r="D160" s="42"/>
      <c r="E160" s="42" t="s">
        <v>111</v>
      </c>
      <c r="F160" s="42">
        <v>75</v>
      </c>
      <c r="G160" s="41"/>
      <c r="H160" s="41"/>
      <c r="I160" s="41"/>
      <c r="K160" s="41"/>
      <c r="M160" s="44">
        <f t="shared" si="2"/>
        <v>1502</v>
      </c>
    </row>
    <row r="161" spans="1:13" x14ac:dyDescent="0.3">
      <c r="A161" s="42"/>
      <c r="B161" s="42">
        <v>1503</v>
      </c>
      <c r="C161" s="46" t="s">
        <v>207</v>
      </c>
      <c r="D161" s="42"/>
      <c r="E161" s="42" t="s">
        <v>111</v>
      </c>
      <c r="F161" s="42">
        <v>50</v>
      </c>
      <c r="G161" s="41"/>
      <c r="H161" s="41"/>
      <c r="I161" s="41"/>
      <c r="K161" s="41"/>
      <c r="M161" s="44">
        <f t="shared" si="2"/>
        <v>1503</v>
      </c>
    </row>
    <row r="162" spans="1:13" x14ac:dyDescent="0.3">
      <c r="A162" s="42"/>
      <c r="B162" s="42">
        <v>1504</v>
      </c>
      <c r="C162" s="46" t="s">
        <v>208</v>
      </c>
      <c r="D162" s="42"/>
      <c r="E162" s="42" t="s">
        <v>111</v>
      </c>
      <c r="F162" s="42">
        <v>75</v>
      </c>
      <c r="G162" s="41"/>
      <c r="H162" s="41"/>
      <c r="I162" s="41"/>
      <c r="K162" s="41"/>
      <c r="M162" s="44">
        <f t="shared" si="2"/>
        <v>1504</v>
      </c>
    </row>
    <row r="163" spans="1:13" x14ac:dyDescent="0.3">
      <c r="A163" s="42"/>
      <c r="B163" s="42">
        <v>1505</v>
      </c>
      <c r="C163" s="46" t="s">
        <v>210</v>
      </c>
      <c r="D163" s="42"/>
      <c r="E163" s="42" t="s">
        <v>111</v>
      </c>
      <c r="F163" s="42">
        <v>90</v>
      </c>
      <c r="G163" s="41"/>
      <c r="H163" s="41"/>
      <c r="I163" s="41"/>
      <c r="K163" s="41"/>
      <c r="M163" s="44">
        <f t="shared" si="2"/>
        <v>1505</v>
      </c>
    </row>
    <row r="164" spans="1:13" x14ac:dyDescent="0.3">
      <c r="A164" s="42"/>
      <c r="B164" s="42">
        <v>1506</v>
      </c>
      <c r="C164" s="46" t="s">
        <v>209</v>
      </c>
      <c r="D164" s="42"/>
      <c r="E164" s="42" t="s">
        <v>111</v>
      </c>
      <c r="F164" s="42">
        <v>60</v>
      </c>
      <c r="G164" s="41"/>
      <c r="H164" s="41"/>
      <c r="I164" s="41"/>
      <c r="K164" s="41"/>
      <c r="M164" s="44">
        <f t="shared" si="2"/>
        <v>1506</v>
      </c>
    </row>
    <row r="165" spans="1:13" x14ac:dyDescent="0.3">
      <c r="A165" s="42"/>
      <c r="B165" s="42">
        <v>1507</v>
      </c>
      <c r="C165" s="46" t="s">
        <v>211</v>
      </c>
      <c r="D165" s="42"/>
      <c r="E165" s="42" t="s">
        <v>111</v>
      </c>
      <c r="F165" s="42">
        <v>70</v>
      </c>
      <c r="G165" s="41"/>
      <c r="H165" s="41"/>
      <c r="I165" s="41"/>
      <c r="K165" s="41"/>
      <c r="M165" s="44">
        <f t="shared" si="2"/>
        <v>1507</v>
      </c>
    </row>
    <row r="166" spans="1:13" x14ac:dyDescent="0.3">
      <c r="A166" s="42"/>
      <c r="B166" s="42">
        <v>1508</v>
      </c>
      <c r="C166" s="46" t="s">
        <v>212</v>
      </c>
      <c r="D166" s="42"/>
      <c r="E166" s="42" t="s">
        <v>111</v>
      </c>
      <c r="F166" s="42">
        <v>70</v>
      </c>
      <c r="G166" s="41"/>
      <c r="H166" s="41"/>
      <c r="I166" s="41"/>
      <c r="K166" s="41"/>
      <c r="M166" s="44">
        <f t="shared" si="2"/>
        <v>1508</v>
      </c>
    </row>
    <row r="167" spans="1:13" x14ac:dyDescent="0.3">
      <c r="A167" s="42"/>
      <c r="B167" s="42">
        <v>1509</v>
      </c>
      <c r="C167" s="46" t="s">
        <v>213</v>
      </c>
      <c r="D167" s="42"/>
      <c r="E167" s="42" t="s">
        <v>111</v>
      </c>
      <c r="F167" s="42">
        <v>80</v>
      </c>
      <c r="G167" s="41"/>
      <c r="H167" s="41"/>
      <c r="I167" s="41"/>
      <c r="K167" s="41"/>
      <c r="M167" s="44">
        <f t="shared" si="2"/>
        <v>1509</v>
      </c>
    </row>
    <row r="168" spans="1:13" x14ac:dyDescent="0.3">
      <c r="A168" s="42"/>
      <c r="B168" s="42">
        <v>1510</v>
      </c>
      <c r="C168" s="46" t="s">
        <v>214</v>
      </c>
      <c r="D168" s="42"/>
      <c r="E168" s="42" t="s">
        <v>111</v>
      </c>
      <c r="F168" s="42">
        <v>60</v>
      </c>
      <c r="G168" s="41"/>
      <c r="H168" s="41"/>
      <c r="I168" s="41"/>
      <c r="K168" s="41"/>
      <c r="M168" s="44">
        <f t="shared" si="2"/>
        <v>1510</v>
      </c>
    </row>
    <row r="169" spans="1:13" x14ac:dyDescent="0.3">
      <c r="A169" s="42"/>
      <c r="B169" s="42">
        <v>1511</v>
      </c>
      <c r="C169" s="46" t="s">
        <v>215</v>
      </c>
      <c r="D169" s="42"/>
      <c r="E169" s="42" t="s">
        <v>134</v>
      </c>
      <c r="F169" s="42">
        <v>550</v>
      </c>
      <c r="G169" s="41"/>
      <c r="H169" s="41"/>
      <c r="I169" s="41"/>
      <c r="K169" s="41"/>
      <c r="M169" s="44">
        <f t="shared" si="2"/>
        <v>1511</v>
      </c>
    </row>
    <row r="170" spans="1:13" x14ac:dyDescent="0.3">
      <c r="A170" s="42"/>
      <c r="B170" s="42">
        <v>1512</v>
      </c>
      <c r="C170" s="46" t="s">
        <v>216</v>
      </c>
      <c r="D170" s="42"/>
      <c r="E170" s="42" t="s">
        <v>217</v>
      </c>
      <c r="F170" s="42">
        <v>120</v>
      </c>
      <c r="G170" s="41"/>
      <c r="H170" s="41"/>
      <c r="I170" s="41"/>
      <c r="K170" s="41"/>
      <c r="M170" s="44">
        <f t="shared" si="2"/>
        <v>1512</v>
      </c>
    </row>
    <row r="171" spans="1:13" x14ac:dyDescent="0.3">
      <c r="A171" s="42"/>
      <c r="B171" s="42">
        <v>1432</v>
      </c>
      <c r="C171" s="46" t="s">
        <v>218</v>
      </c>
      <c r="D171" s="42"/>
      <c r="E171" s="42" t="s">
        <v>111</v>
      </c>
      <c r="F171" s="42">
        <v>100</v>
      </c>
      <c r="G171" s="41"/>
      <c r="H171" s="41"/>
      <c r="I171" s="41"/>
      <c r="K171" s="41"/>
      <c r="M171" s="44">
        <f t="shared" si="2"/>
        <v>1432</v>
      </c>
    </row>
    <row r="172" spans="1:13" x14ac:dyDescent="0.3">
      <c r="A172" s="42"/>
      <c r="B172" s="42"/>
      <c r="C172" s="46"/>
      <c r="D172" s="42"/>
      <c r="E172" s="42"/>
      <c r="F172" s="42"/>
      <c r="G172" s="41"/>
      <c r="H172" s="41"/>
      <c r="I172" s="41"/>
      <c r="K172" s="41"/>
      <c r="M172" s="44" t="str">
        <f t="shared" si="2"/>
        <v/>
      </c>
    </row>
    <row r="173" spans="1:13" x14ac:dyDescent="0.3">
      <c r="A173" s="42"/>
      <c r="B173" s="42"/>
      <c r="C173" s="46"/>
      <c r="D173" s="42"/>
      <c r="E173" s="42"/>
      <c r="F173" s="42"/>
      <c r="G173" s="41"/>
      <c r="H173" s="41"/>
      <c r="I173" s="41"/>
      <c r="K173" s="41"/>
      <c r="M173" s="44" t="str">
        <f t="shared" si="2"/>
        <v/>
      </c>
    </row>
    <row r="174" spans="1:13" x14ac:dyDescent="0.3">
      <c r="A174" s="42"/>
      <c r="B174" s="42"/>
      <c r="C174" s="46"/>
      <c r="D174" s="42"/>
      <c r="E174" s="42"/>
      <c r="F174" s="42"/>
      <c r="G174" s="41"/>
      <c r="H174" s="41"/>
      <c r="I174" s="41"/>
      <c r="K174" s="41"/>
      <c r="M174" s="44" t="str">
        <f t="shared" si="2"/>
        <v/>
      </c>
    </row>
    <row r="175" spans="1:13" x14ac:dyDescent="0.3">
      <c r="A175" s="42"/>
      <c r="B175" s="42"/>
      <c r="C175" s="46"/>
      <c r="D175" s="42"/>
      <c r="E175" s="42"/>
      <c r="F175" s="42"/>
      <c r="G175" s="41"/>
      <c r="H175" s="41"/>
      <c r="I175" s="41"/>
      <c r="K175" s="41"/>
      <c r="M175" s="44" t="str">
        <f t="shared" si="2"/>
        <v/>
      </c>
    </row>
    <row r="176" spans="1:13" x14ac:dyDescent="0.3">
      <c r="A176" s="42"/>
      <c r="B176" s="42"/>
      <c r="C176" s="46"/>
      <c r="D176" s="42"/>
      <c r="E176" s="42"/>
      <c r="F176" s="42"/>
      <c r="G176" s="41"/>
      <c r="H176" s="41"/>
      <c r="I176" s="41"/>
      <c r="K176" s="41"/>
      <c r="M176" s="44" t="str">
        <f t="shared" si="2"/>
        <v/>
      </c>
    </row>
    <row r="177" spans="1:13" x14ac:dyDescent="0.3">
      <c r="A177" s="42"/>
      <c r="B177" s="42"/>
      <c r="C177" s="46"/>
      <c r="D177" s="42"/>
      <c r="E177" s="42"/>
      <c r="F177" s="42"/>
      <c r="G177" s="41"/>
      <c r="H177" s="41"/>
      <c r="I177" s="41"/>
      <c r="K177" s="41"/>
      <c r="M177" s="44" t="str">
        <f t="shared" si="2"/>
        <v/>
      </c>
    </row>
    <row r="178" spans="1:13" x14ac:dyDescent="0.3">
      <c r="A178" s="41"/>
      <c r="B178" s="41"/>
      <c r="C178" s="47"/>
      <c r="D178" s="41"/>
      <c r="E178" s="41"/>
      <c r="F178" s="41"/>
      <c r="G178" s="41"/>
      <c r="H178" s="41"/>
      <c r="I178" s="41"/>
      <c r="K178" s="41"/>
      <c r="M178" s="44" t="str">
        <f t="shared" si="2"/>
        <v/>
      </c>
    </row>
    <row r="179" spans="1:13" x14ac:dyDescent="0.3">
      <c r="A179" s="41"/>
      <c r="B179" s="41"/>
      <c r="C179" s="47"/>
      <c r="D179" s="41"/>
      <c r="E179" s="41"/>
      <c r="F179" s="41"/>
      <c r="G179" s="41"/>
      <c r="H179" s="41"/>
      <c r="I179" s="41"/>
      <c r="K179" s="41"/>
      <c r="M179" s="44" t="str">
        <f t="shared" si="2"/>
        <v/>
      </c>
    </row>
    <row r="180" spans="1:13" x14ac:dyDescent="0.3">
      <c r="A180" s="41"/>
      <c r="B180" s="41"/>
      <c r="C180" s="47"/>
      <c r="D180" s="41"/>
      <c r="E180" s="41"/>
      <c r="F180" s="41"/>
      <c r="G180" s="41"/>
      <c r="H180" s="41"/>
      <c r="I180" s="41"/>
      <c r="K180" s="41"/>
      <c r="M180" s="44" t="str">
        <f t="shared" si="2"/>
        <v/>
      </c>
    </row>
    <row r="181" spans="1:13" x14ac:dyDescent="0.3">
      <c r="A181" s="41"/>
      <c r="B181" s="41"/>
      <c r="C181" s="47"/>
      <c r="D181" s="41"/>
      <c r="E181" s="41"/>
      <c r="F181" s="41"/>
      <c r="G181" s="41"/>
      <c r="H181" s="41"/>
      <c r="I181" s="41"/>
      <c r="K181" s="41"/>
      <c r="M181" s="44" t="str">
        <f t="shared" si="2"/>
        <v/>
      </c>
    </row>
    <row r="182" spans="1:13" x14ac:dyDescent="0.3">
      <c r="A182" s="41"/>
      <c r="B182" s="41"/>
      <c r="C182" s="47"/>
      <c r="D182" s="41"/>
      <c r="E182" s="41"/>
      <c r="F182" s="41"/>
      <c r="G182" s="41"/>
      <c r="H182" s="41"/>
      <c r="I182" s="41"/>
      <c r="K182" s="41"/>
      <c r="M182" s="44" t="str">
        <f t="shared" si="2"/>
        <v/>
      </c>
    </row>
    <row r="183" spans="1:13" x14ac:dyDescent="0.3">
      <c r="A183" s="41"/>
      <c r="B183" s="41"/>
      <c r="C183" s="47"/>
      <c r="D183" s="41"/>
      <c r="E183" s="41"/>
      <c r="F183" s="41"/>
      <c r="G183" s="41"/>
      <c r="H183" s="41"/>
      <c r="I183" s="41"/>
      <c r="K183" s="41"/>
      <c r="M183" s="44" t="str">
        <f t="shared" si="2"/>
        <v/>
      </c>
    </row>
    <row r="184" spans="1:13" x14ac:dyDescent="0.3">
      <c r="A184" s="41"/>
      <c r="B184" s="41"/>
      <c r="C184" s="47"/>
      <c r="D184" s="41"/>
      <c r="E184" s="41"/>
      <c r="F184" s="41"/>
      <c r="G184" s="41"/>
      <c r="H184" s="41"/>
      <c r="I184" s="41"/>
      <c r="K184" s="41"/>
      <c r="M184" s="44" t="str">
        <f t="shared" si="2"/>
        <v/>
      </c>
    </row>
    <row r="185" spans="1:13" x14ac:dyDescent="0.3">
      <c r="A185" s="41"/>
      <c r="B185" s="41"/>
      <c r="C185" s="47"/>
      <c r="D185" s="41"/>
      <c r="E185" s="41"/>
      <c r="F185" s="41"/>
      <c r="G185" s="41"/>
      <c r="H185" s="41"/>
      <c r="I185" s="41"/>
      <c r="K185" s="41"/>
      <c r="M185" s="44" t="str">
        <f t="shared" si="2"/>
        <v/>
      </c>
    </row>
    <row r="186" spans="1:13" x14ac:dyDescent="0.3">
      <c r="A186" s="41"/>
      <c r="B186" s="41"/>
      <c r="C186" s="47"/>
      <c r="D186" s="41"/>
      <c r="E186" s="41"/>
      <c r="F186" s="41"/>
      <c r="G186" s="41"/>
      <c r="H186" s="41"/>
      <c r="I186" s="41"/>
      <c r="K186" s="41"/>
      <c r="M186" s="44" t="str">
        <f t="shared" si="2"/>
        <v/>
      </c>
    </row>
    <row r="187" spans="1:13" x14ac:dyDescent="0.3">
      <c r="A187" s="41"/>
      <c r="B187" s="41"/>
      <c r="C187" s="47"/>
      <c r="D187" s="41"/>
      <c r="E187" s="41"/>
      <c r="F187" s="41"/>
      <c r="G187" s="41"/>
      <c r="H187" s="41"/>
      <c r="I187" s="41"/>
      <c r="K187" s="41"/>
      <c r="M187" s="44" t="str">
        <f t="shared" si="2"/>
        <v/>
      </c>
    </row>
    <row r="188" spans="1:13" x14ac:dyDescent="0.3">
      <c r="A188" s="41"/>
      <c r="B188" s="41"/>
      <c r="C188" s="47"/>
      <c r="D188" s="41"/>
      <c r="E188" s="41"/>
      <c r="F188" s="41"/>
      <c r="G188" s="41"/>
      <c r="H188" s="41"/>
      <c r="I188" s="41"/>
      <c r="K188" s="41"/>
      <c r="M188" s="44" t="str">
        <f t="shared" si="2"/>
        <v/>
      </c>
    </row>
    <row r="189" spans="1:13" x14ac:dyDescent="0.3">
      <c r="A189" s="41"/>
      <c r="B189" s="41"/>
      <c r="C189" s="47"/>
      <c r="D189" s="41"/>
      <c r="E189" s="41"/>
      <c r="F189" s="41"/>
      <c r="G189" s="41"/>
      <c r="H189" s="41"/>
      <c r="I189" s="41"/>
      <c r="K189" s="41"/>
      <c r="M189" s="44" t="str">
        <f t="shared" si="2"/>
        <v/>
      </c>
    </row>
    <row r="190" spans="1:13" x14ac:dyDescent="0.3">
      <c r="A190" s="41"/>
      <c r="B190" s="41"/>
      <c r="C190" s="47"/>
      <c r="D190" s="41"/>
      <c r="E190" s="41"/>
      <c r="F190" s="41"/>
      <c r="G190" s="41"/>
      <c r="H190" s="41"/>
      <c r="I190" s="41"/>
      <c r="K190" s="41"/>
      <c r="M190" s="44" t="str">
        <f t="shared" si="2"/>
        <v/>
      </c>
    </row>
    <row r="191" spans="1:13" x14ac:dyDescent="0.3">
      <c r="A191" s="41"/>
      <c r="B191" s="41"/>
      <c r="C191" s="47"/>
      <c r="D191" s="41"/>
      <c r="E191" s="41"/>
      <c r="F191" s="41"/>
      <c r="G191" s="41"/>
      <c r="H191" s="41"/>
      <c r="I191" s="41"/>
      <c r="K191" s="41"/>
      <c r="M191" s="44" t="str">
        <f t="shared" si="2"/>
        <v/>
      </c>
    </row>
    <row r="192" spans="1:13" x14ac:dyDescent="0.3">
      <c r="A192" s="41"/>
      <c r="B192" s="41"/>
      <c r="C192" s="47"/>
      <c r="D192" s="41"/>
      <c r="E192" s="41"/>
      <c r="F192" s="41"/>
      <c r="G192" s="41"/>
      <c r="H192" s="41"/>
      <c r="I192" s="41"/>
      <c r="K192" s="41"/>
      <c r="M192" s="44" t="str">
        <f t="shared" si="2"/>
        <v/>
      </c>
    </row>
    <row r="193" spans="1:13" x14ac:dyDescent="0.3">
      <c r="A193" s="41"/>
      <c r="B193" s="41"/>
      <c r="C193" s="47"/>
      <c r="D193" s="41"/>
      <c r="E193" s="41"/>
      <c r="F193" s="41"/>
      <c r="G193" s="41"/>
      <c r="H193" s="41"/>
      <c r="I193" s="41"/>
      <c r="K193" s="41"/>
      <c r="M193" s="44" t="str">
        <f t="shared" si="2"/>
        <v/>
      </c>
    </row>
    <row r="194" spans="1:13" x14ac:dyDescent="0.3">
      <c r="A194" s="41"/>
      <c r="B194" s="41"/>
      <c r="C194" s="47"/>
      <c r="D194" s="41"/>
      <c r="E194" s="41"/>
      <c r="F194" s="41"/>
      <c r="G194" s="41"/>
      <c r="H194" s="41"/>
      <c r="I194" s="41"/>
      <c r="K194" s="41"/>
      <c r="M194" s="44" t="str">
        <f t="shared" si="2"/>
        <v/>
      </c>
    </row>
    <row r="195" spans="1:13" x14ac:dyDescent="0.3">
      <c r="A195" s="41"/>
      <c r="B195" s="41"/>
      <c r="C195" s="47"/>
      <c r="D195" s="41"/>
      <c r="E195" s="41"/>
      <c r="F195" s="41"/>
      <c r="G195" s="41"/>
      <c r="H195" s="41"/>
      <c r="I195" s="41"/>
      <c r="K195" s="41"/>
      <c r="M195" s="44" t="str">
        <f t="shared" ref="M195:M258" si="3">IF($B$3:$B$1522&lt;&gt;"",$B$3:$B$1522,"")</f>
        <v/>
      </c>
    </row>
    <row r="196" spans="1:13" x14ac:dyDescent="0.3">
      <c r="A196" s="41"/>
      <c r="B196" s="41"/>
      <c r="C196" s="47"/>
      <c r="D196" s="41"/>
      <c r="E196" s="41"/>
      <c r="F196" s="41"/>
      <c r="G196" s="41"/>
      <c r="H196" s="41"/>
      <c r="I196" s="41"/>
      <c r="K196" s="41"/>
      <c r="M196" s="44" t="str">
        <f t="shared" si="3"/>
        <v/>
      </c>
    </row>
    <row r="197" spans="1:13" x14ac:dyDescent="0.3">
      <c r="A197" s="41"/>
      <c r="B197" s="41"/>
      <c r="C197" s="47"/>
      <c r="D197" s="41"/>
      <c r="E197" s="41"/>
      <c r="F197" s="41"/>
      <c r="G197" s="41"/>
      <c r="H197" s="41"/>
      <c r="I197" s="41"/>
      <c r="K197" s="41"/>
      <c r="M197" s="44" t="str">
        <f t="shared" si="3"/>
        <v/>
      </c>
    </row>
    <row r="198" spans="1:13" x14ac:dyDescent="0.3">
      <c r="A198" s="41"/>
      <c r="B198" s="41"/>
      <c r="C198" s="47"/>
      <c r="D198" s="41"/>
      <c r="E198" s="41"/>
      <c r="F198" s="41"/>
      <c r="G198" s="41"/>
      <c r="H198" s="41"/>
      <c r="I198" s="41"/>
      <c r="K198" s="41"/>
      <c r="M198" s="44" t="str">
        <f t="shared" si="3"/>
        <v/>
      </c>
    </row>
    <row r="199" spans="1:13" x14ac:dyDescent="0.3">
      <c r="A199" s="41"/>
      <c r="B199" s="41"/>
      <c r="C199" s="47"/>
      <c r="D199" s="41"/>
      <c r="E199" s="41"/>
      <c r="F199" s="41"/>
      <c r="G199" s="41"/>
      <c r="H199" s="41"/>
      <c r="I199" s="41"/>
      <c r="K199" s="41"/>
      <c r="M199" s="44" t="str">
        <f t="shared" si="3"/>
        <v/>
      </c>
    </row>
    <row r="200" spans="1:13" x14ac:dyDescent="0.3">
      <c r="A200" s="41"/>
      <c r="B200" s="41"/>
      <c r="C200" s="47"/>
      <c r="D200" s="41"/>
      <c r="E200" s="41"/>
      <c r="F200" s="41"/>
      <c r="G200" s="41"/>
      <c r="H200" s="41"/>
      <c r="I200" s="41"/>
      <c r="K200" s="41"/>
      <c r="M200" s="44" t="str">
        <f t="shared" si="3"/>
        <v/>
      </c>
    </row>
    <row r="201" spans="1:13" x14ac:dyDescent="0.3">
      <c r="A201" s="41"/>
      <c r="B201" s="41"/>
      <c r="C201" s="47"/>
      <c r="D201" s="41"/>
      <c r="E201" s="41"/>
      <c r="F201" s="41"/>
      <c r="G201" s="41"/>
      <c r="H201" s="41"/>
      <c r="I201" s="41"/>
      <c r="K201" s="41"/>
      <c r="M201" s="44" t="str">
        <f t="shared" si="3"/>
        <v/>
      </c>
    </row>
    <row r="202" spans="1:13" x14ac:dyDescent="0.3">
      <c r="A202" s="41"/>
      <c r="B202" s="41"/>
      <c r="C202" s="47"/>
      <c r="D202" s="41"/>
      <c r="E202" s="41"/>
      <c r="F202" s="41"/>
      <c r="G202" s="41"/>
      <c r="H202" s="41"/>
      <c r="I202" s="41"/>
      <c r="K202" s="41"/>
      <c r="M202" s="44" t="str">
        <f t="shared" si="3"/>
        <v/>
      </c>
    </row>
    <row r="203" spans="1:13" x14ac:dyDescent="0.3">
      <c r="A203" s="41"/>
      <c r="B203" s="41"/>
      <c r="C203" s="47"/>
      <c r="D203" s="41"/>
      <c r="E203" s="41"/>
      <c r="F203" s="41"/>
      <c r="G203" s="41"/>
      <c r="H203" s="41"/>
      <c r="I203" s="41"/>
      <c r="K203" s="41"/>
      <c r="M203" s="44" t="str">
        <f t="shared" si="3"/>
        <v/>
      </c>
    </row>
    <row r="204" spans="1:13" x14ac:dyDescent="0.3">
      <c r="A204" s="41"/>
      <c r="B204" s="41"/>
      <c r="C204" s="47"/>
      <c r="D204" s="41"/>
      <c r="E204" s="41"/>
      <c r="F204" s="41"/>
      <c r="G204" s="41"/>
      <c r="H204" s="41"/>
      <c r="I204" s="41"/>
      <c r="K204" s="41"/>
      <c r="M204" s="44" t="str">
        <f t="shared" si="3"/>
        <v/>
      </c>
    </row>
    <row r="205" spans="1:13" x14ac:dyDescent="0.3">
      <c r="A205" s="41"/>
      <c r="B205" s="41"/>
      <c r="C205" s="47"/>
      <c r="D205" s="41"/>
      <c r="E205" s="41"/>
      <c r="F205" s="41"/>
      <c r="G205" s="41"/>
      <c r="H205" s="41"/>
      <c r="I205" s="41"/>
      <c r="K205" s="41"/>
      <c r="M205" s="44" t="str">
        <f t="shared" si="3"/>
        <v/>
      </c>
    </row>
    <row r="206" spans="1:13" x14ac:dyDescent="0.3">
      <c r="A206" s="41"/>
      <c r="B206" s="41"/>
      <c r="C206" s="47"/>
      <c r="D206" s="41"/>
      <c r="E206" s="41"/>
      <c r="F206" s="41"/>
      <c r="G206" s="41"/>
      <c r="H206" s="41"/>
      <c r="I206" s="41"/>
      <c r="K206" s="41"/>
      <c r="M206" s="44" t="str">
        <f t="shared" si="3"/>
        <v/>
      </c>
    </row>
    <row r="207" spans="1:13" x14ac:dyDescent="0.3">
      <c r="A207" s="41"/>
      <c r="B207" s="41"/>
      <c r="C207" s="47"/>
      <c r="D207" s="41"/>
      <c r="E207" s="41"/>
      <c r="F207" s="41"/>
      <c r="G207" s="41"/>
      <c r="H207" s="41"/>
      <c r="I207" s="41"/>
      <c r="K207" s="41"/>
      <c r="M207" s="44" t="str">
        <f t="shared" si="3"/>
        <v/>
      </c>
    </row>
    <row r="208" spans="1:13" x14ac:dyDescent="0.3">
      <c r="A208" s="41"/>
      <c r="B208" s="41"/>
      <c r="C208" s="47"/>
      <c r="D208" s="41"/>
      <c r="E208" s="41"/>
      <c r="F208" s="41"/>
      <c r="G208" s="41"/>
      <c r="H208" s="41"/>
      <c r="I208" s="41"/>
      <c r="K208" s="41"/>
      <c r="M208" s="44" t="str">
        <f t="shared" si="3"/>
        <v/>
      </c>
    </row>
    <row r="209" spans="1:13" x14ac:dyDescent="0.3">
      <c r="A209" s="41"/>
      <c r="B209" s="41"/>
      <c r="C209" s="47"/>
      <c r="D209" s="41"/>
      <c r="E209" s="41"/>
      <c r="F209" s="41"/>
      <c r="G209" s="41"/>
      <c r="H209" s="41"/>
      <c r="I209" s="41"/>
      <c r="K209" s="41"/>
      <c r="M209" s="44" t="str">
        <f t="shared" si="3"/>
        <v/>
      </c>
    </row>
    <row r="210" spans="1:13" x14ac:dyDescent="0.3">
      <c r="A210" s="41"/>
      <c r="B210" s="41"/>
      <c r="C210" s="47"/>
      <c r="D210" s="41"/>
      <c r="E210" s="41"/>
      <c r="F210" s="41"/>
      <c r="G210" s="41"/>
      <c r="H210" s="41"/>
      <c r="I210" s="41"/>
      <c r="K210" s="41"/>
      <c r="M210" s="44" t="str">
        <f t="shared" si="3"/>
        <v/>
      </c>
    </row>
    <row r="211" spans="1:13" x14ac:dyDescent="0.3">
      <c r="A211" s="41"/>
      <c r="B211" s="41"/>
      <c r="C211" s="47"/>
      <c r="D211" s="41"/>
      <c r="E211" s="41"/>
      <c r="F211" s="41"/>
      <c r="G211" s="41"/>
      <c r="H211" s="41"/>
      <c r="I211" s="41"/>
      <c r="K211" s="41"/>
      <c r="M211" s="44" t="str">
        <f t="shared" si="3"/>
        <v/>
      </c>
    </row>
    <row r="212" spans="1:13" x14ac:dyDescent="0.3">
      <c r="A212" s="41"/>
      <c r="B212" s="41"/>
      <c r="C212" s="47"/>
      <c r="D212" s="41"/>
      <c r="E212" s="41"/>
      <c r="F212" s="41"/>
      <c r="G212" s="41"/>
      <c r="H212" s="41"/>
      <c r="I212" s="41"/>
      <c r="K212" s="41"/>
      <c r="M212" s="44" t="str">
        <f t="shared" si="3"/>
        <v/>
      </c>
    </row>
    <row r="213" spans="1:13" x14ac:dyDescent="0.3">
      <c r="A213" s="41"/>
      <c r="B213" s="41"/>
      <c r="C213" s="47"/>
      <c r="D213" s="41"/>
      <c r="E213" s="41"/>
      <c r="F213" s="41"/>
      <c r="G213" s="41"/>
      <c r="H213" s="41"/>
      <c r="I213" s="41"/>
      <c r="K213" s="41"/>
      <c r="M213" s="44" t="str">
        <f t="shared" si="3"/>
        <v/>
      </c>
    </row>
    <row r="214" spans="1:13" x14ac:dyDescent="0.3">
      <c r="A214" s="41"/>
      <c r="B214" s="41"/>
      <c r="C214" s="47"/>
      <c r="D214" s="41"/>
      <c r="E214" s="41"/>
      <c r="F214" s="41"/>
      <c r="G214" s="41"/>
      <c r="H214" s="41"/>
      <c r="I214" s="41"/>
      <c r="K214" s="41"/>
      <c r="M214" s="44" t="str">
        <f t="shared" si="3"/>
        <v/>
      </c>
    </row>
    <row r="215" spans="1:13" x14ac:dyDescent="0.3">
      <c r="A215" s="41"/>
      <c r="B215" s="41"/>
      <c r="C215" s="47"/>
      <c r="D215" s="41"/>
      <c r="E215" s="41"/>
      <c r="F215" s="41"/>
      <c r="G215" s="41"/>
      <c r="H215" s="41"/>
      <c r="I215" s="41"/>
      <c r="K215" s="41"/>
      <c r="M215" s="44" t="str">
        <f t="shared" si="3"/>
        <v/>
      </c>
    </row>
    <row r="216" spans="1:13" x14ac:dyDescent="0.3">
      <c r="A216" s="41"/>
      <c r="B216" s="41"/>
      <c r="C216" s="47"/>
      <c r="D216" s="41"/>
      <c r="E216" s="41"/>
      <c r="F216" s="41"/>
      <c r="G216" s="41"/>
      <c r="H216" s="41"/>
      <c r="I216" s="41"/>
      <c r="K216" s="41"/>
      <c r="M216" s="44" t="str">
        <f t="shared" si="3"/>
        <v/>
      </c>
    </row>
    <row r="217" spans="1:13" x14ac:dyDescent="0.3">
      <c r="A217" s="41"/>
      <c r="B217" s="41"/>
      <c r="C217" s="47"/>
      <c r="D217" s="41"/>
      <c r="E217" s="41"/>
      <c r="F217" s="41"/>
      <c r="G217" s="41"/>
      <c r="H217" s="41"/>
      <c r="I217" s="41"/>
      <c r="K217" s="41"/>
      <c r="M217" s="44" t="str">
        <f t="shared" si="3"/>
        <v/>
      </c>
    </row>
    <row r="218" spans="1:13" x14ac:dyDescent="0.3">
      <c r="A218" s="41"/>
      <c r="B218" s="41"/>
      <c r="C218" s="47"/>
      <c r="D218" s="41"/>
      <c r="E218" s="41"/>
      <c r="F218" s="41"/>
      <c r="G218" s="41"/>
      <c r="H218" s="41"/>
      <c r="I218" s="41"/>
      <c r="K218" s="41"/>
      <c r="M218" s="44" t="str">
        <f t="shared" si="3"/>
        <v/>
      </c>
    </row>
    <row r="219" spans="1:13" x14ac:dyDescent="0.3">
      <c r="A219" s="41"/>
      <c r="B219" s="41"/>
      <c r="C219" s="47"/>
      <c r="D219" s="41"/>
      <c r="E219" s="41"/>
      <c r="F219" s="41"/>
      <c r="G219" s="41"/>
      <c r="H219" s="41"/>
      <c r="I219" s="41"/>
      <c r="K219" s="41"/>
      <c r="M219" s="44" t="str">
        <f t="shared" si="3"/>
        <v/>
      </c>
    </row>
    <row r="220" spans="1:13" x14ac:dyDescent="0.3">
      <c r="A220" s="41"/>
      <c r="B220" s="41"/>
      <c r="C220" s="47"/>
      <c r="D220" s="41"/>
      <c r="E220" s="41"/>
      <c r="F220" s="41"/>
      <c r="G220" s="41"/>
      <c r="H220" s="41"/>
      <c r="I220" s="41"/>
      <c r="K220" s="41"/>
      <c r="M220" s="44" t="str">
        <f t="shared" si="3"/>
        <v/>
      </c>
    </row>
    <row r="221" spans="1:13" x14ac:dyDescent="0.3">
      <c r="A221" s="41"/>
      <c r="B221" s="41"/>
      <c r="C221" s="47"/>
      <c r="D221" s="41"/>
      <c r="E221" s="41"/>
      <c r="F221" s="41"/>
      <c r="G221" s="41"/>
      <c r="H221" s="41"/>
      <c r="I221" s="41"/>
      <c r="K221" s="41"/>
      <c r="M221" s="44" t="str">
        <f t="shared" si="3"/>
        <v/>
      </c>
    </row>
    <row r="222" spans="1:13" x14ac:dyDescent="0.3">
      <c r="A222" s="41"/>
      <c r="B222" s="41"/>
      <c r="C222" s="47"/>
      <c r="D222" s="41"/>
      <c r="E222" s="41"/>
      <c r="F222" s="41"/>
      <c r="G222" s="41"/>
      <c r="H222" s="41"/>
      <c r="I222" s="41"/>
      <c r="K222" s="41"/>
      <c r="M222" s="44" t="str">
        <f t="shared" si="3"/>
        <v/>
      </c>
    </row>
    <row r="223" spans="1:13" x14ac:dyDescent="0.3">
      <c r="A223" s="41"/>
      <c r="B223" s="41"/>
      <c r="C223" s="47"/>
      <c r="D223" s="41"/>
      <c r="E223" s="41"/>
      <c r="F223" s="41"/>
      <c r="G223" s="41"/>
      <c r="H223" s="41"/>
      <c r="I223" s="41"/>
      <c r="K223" s="41"/>
      <c r="M223" s="44" t="str">
        <f t="shared" si="3"/>
        <v/>
      </c>
    </row>
    <row r="224" spans="1:13" x14ac:dyDescent="0.3">
      <c r="A224" s="41"/>
      <c r="B224" s="41"/>
      <c r="C224" s="47"/>
      <c r="D224" s="41"/>
      <c r="E224" s="41"/>
      <c r="F224" s="41"/>
      <c r="G224" s="41"/>
      <c r="H224" s="41"/>
      <c r="I224" s="41"/>
      <c r="K224" s="41"/>
      <c r="M224" s="44" t="str">
        <f t="shared" si="3"/>
        <v/>
      </c>
    </row>
    <row r="225" spans="1:13" x14ac:dyDescent="0.3">
      <c r="A225" s="41"/>
      <c r="B225" s="41"/>
      <c r="C225" s="47"/>
      <c r="D225" s="41"/>
      <c r="E225" s="41"/>
      <c r="F225" s="41"/>
      <c r="G225" s="41"/>
      <c r="H225" s="41"/>
      <c r="I225" s="41"/>
      <c r="K225" s="41"/>
      <c r="M225" s="44" t="str">
        <f t="shared" si="3"/>
        <v/>
      </c>
    </row>
    <row r="226" spans="1:13" x14ac:dyDescent="0.3">
      <c r="A226" s="41"/>
      <c r="B226" s="41"/>
      <c r="C226" s="47"/>
      <c r="D226" s="41"/>
      <c r="E226" s="41"/>
      <c r="F226" s="41"/>
      <c r="G226" s="41"/>
      <c r="H226" s="41"/>
      <c r="I226" s="41"/>
      <c r="K226" s="41"/>
      <c r="M226" s="44" t="str">
        <f t="shared" si="3"/>
        <v/>
      </c>
    </row>
    <row r="227" spans="1:13" x14ac:dyDescent="0.3">
      <c r="A227" s="41"/>
      <c r="B227" s="41"/>
      <c r="C227" s="47"/>
      <c r="D227" s="41"/>
      <c r="E227" s="41"/>
      <c r="F227" s="41"/>
      <c r="G227" s="41"/>
      <c r="H227" s="41"/>
      <c r="I227" s="41"/>
      <c r="K227" s="41"/>
      <c r="M227" s="44" t="str">
        <f t="shared" si="3"/>
        <v/>
      </c>
    </row>
    <row r="228" spans="1:13" x14ac:dyDescent="0.3">
      <c r="A228" s="41"/>
      <c r="B228" s="41"/>
      <c r="C228" s="47"/>
      <c r="D228" s="41"/>
      <c r="E228" s="41"/>
      <c r="F228" s="41"/>
      <c r="G228" s="41"/>
      <c r="H228" s="41"/>
      <c r="I228" s="41"/>
      <c r="K228" s="41"/>
      <c r="M228" s="44" t="str">
        <f t="shared" si="3"/>
        <v/>
      </c>
    </row>
    <row r="229" spans="1:13" x14ac:dyDescent="0.3">
      <c r="A229" s="41"/>
      <c r="B229" s="41"/>
      <c r="C229" s="47"/>
      <c r="D229" s="41"/>
      <c r="E229" s="41"/>
      <c r="F229" s="41"/>
      <c r="G229" s="41"/>
      <c r="H229" s="41"/>
      <c r="I229" s="41"/>
      <c r="K229" s="41"/>
      <c r="M229" s="44" t="str">
        <f t="shared" si="3"/>
        <v/>
      </c>
    </row>
    <row r="230" spans="1:13" x14ac:dyDescent="0.3">
      <c r="A230" s="41"/>
      <c r="B230" s="41"/>
      <c r="C230" s="47"/>
      <c r="D230" s="41"/>
      <c r="E230" s="41"/>
      <c r="F230" s="41"/>
      <c r="G230" s="41"/>
      <c r="H230" s="41"/>
      <c r="I230" s="41"/>
      <c r="K230" s="41"/>
      <c r="M230" s="44" t="str">
        <f t="shared" si="3"/>
        <v/>
      </c>
    </row>
    <row r="231" spans="1:13" x14ac:dyDescent="0.3">
      <c r="A231" s="41"/>
      <c r="B231" s="41"/>
      <c r="C231" s="47"/>
      <c r="D231" s="41"/>
      <c r="E231" s="41"/>
      <c r="F231" s="41"/>
      <c r="G231" s="41"/>
      <c r="H231" s="41"/>
      <c r="I231" s="41"/>
      <c r="K231" s="41"/>
      <c r="M231" s="44" t="str">
        <f t="shared" si="3"/>
        <v/>
      </c>
    </row>
    <row r="232" spans="1:13" x14ac:dyDescent="0.3">
      <c r="A232" s="41"/>
      <c r="B232" s="41"/>
      <c r="C232" s="47"/>
      <c r="D232" s="41"/>
      <c r="E232" s="41"/>
      <c r="F232" s="41"/>
      <c r="G232" s="41"/>
      <c r="H232" s="41"/>
      <c r="I232" s="41"/>
      <c r="K232" s="41"/>
      <c r="M232" s="44" t="str">
        <f t="shared" si="3"/>
        <v/>
      </c>
    </row>
    <row r="233" spans="1:13" x14ac:dyDescent="0.3">
      <c r="A233" s="41"/>
      <c r="B233" s="41"/>
      <c r="C233" s="47"/>
      <c r="D233" s="41"/>
      <c r="E233" s="41"/>
      <c r="F233" s="41"/>
      <c r="G233" s="41"/>
      <c r="H233" s="41"/>
      <c r="I233" s="41"/>
      <c r="K233" s="41"/>
      <c r="M233" s="44" t="str">
        <f t="shared" si="3"/>
        <v/>
      </c>
    </row>
    <row r="234" spans="1:13" x14ac:dyDescent="0.3">
      <c r="A234" s="41"/>
      <c r="B234" s="41"/>
      <c r="C234" s="47"/>
      <c r="D234" s="41"/>
      <c r="E234" s="41"/>
      <c r="F234" s="41"/>
      <c r="G234" s="41"/>
      <c r="H234" s="41"/>
      <c r="I234" s="41"/>
      <c r="K234" s="41"/>
      <c r="M234" s="44" t="str">
        <f t="shared" si="3"/>
        <v/>
      </c>
    </row>
    <row r="235" spans="1:13" x14ac:dyDescent="0.3">
      <c r="A235" s="41"/>
      <c r="B235" s="41"/>
      <c r="C235" s="47"/>
      <c r="D235" s="41"/>
      <c r="E235" s="41"/>
      <c r="F235" s="41"/>
      <c r="G235" s="41"/>
      <c r="H235" s="41"/>
      <c r="I235" s="41"/>
      <c r="K235" s="41"/>
      <c r="M235" s="44" t="str">
        <f t="shared" si="3"/>
        <v/>
      </c>
    </row>
    <row r="236" spans="1:13" x14ac:dyDescent="0.3">
      <c r="A236" s="41"/>
      <c r="B236" s="41"/>
      <c r="C236" s="47"/>
      <c r="D236" s="41"/>
      <c r="E236" s="41"/>
      <c r="F236" s="41"/>
      <c r="G236" s="41"/>
      <c r="H236" s="41"/>
      <c r="I236" s="41"/>
      <c r="K236" s="41"/>
      <c r="M236" s="44" t="str">
        <f t="shared" si="3"/>
        <v/>
      </c>
    </row>
    <row r="237" spans="1:13" x14ac:dyDescent="0.3">
      <c r="A237" s="41"/>
      <c r="B237" s="41"/>
      <c r="C237" s="47"/>
      <c r="D237" s="41"/>
      <c r="E237" s="41"/>
      <c r="F237" s="41"/>
      <c r="G237" s="41"/>
      <c r="H237" s="41"/>
      <c r="I237" s="41"/>
      <c r="K237" s="41"/>
      <c r="M237" s="44" t="str">
        <f t="shared" si="3"/>
        <v/>
      </c>
    </row>
    <row r="238" spans="1:13" x14ac:dyDescent="0.3">
      <c r="A238" s="41"/>
      <c r="B238" s="41"/>
      <c r="C238" s="47"/>
      <c r="D238" s="41"/>
      <c r="E238" s="41"/>
      <c r="F238" s="41"/>
      <c r="G238" s="41"/>
      <c r="H238" s="41"/>
      <c r="I238" s="41"/>
      <c r="K238" s="41"/>
      <c r="M238" s="44" t="str">
        <f t="shared" si="3"/>
        <v/>
      </c>
    </row>
    <row r="239" spans="1:13" x14ac:dyDescent="0.3">
      <c r="A239" s="41"/>
      <c r="B239" s="41"/>
      <c r="C239" s="47"/>
      <c r="D239" s="41"/>
      <c r="E239" s="41"/>
      <c r="F239" s="41"/>
      <c r="G239" s="41"/>
      <c r="H239" s="41"/>
      <c r="I239" s="41"/>
      <c r="K239" s="41"/>
      <c r="M239" s="44" t="str">
        <f t="shared" si="3"/>
        <v/>
      </c>
    </row>
    <row r="240" spans="1:13" x14ac:dyDescent="0.3">
      <c r="A240" s="41"/>
      <c r="B240" s="41"/>
      <c r="C240" s="47"/>
      <c r="D240" s="41"/>
      <c r="E240" s="41"/>
      <c r="F240" s="41"/>
      <c r="G240" s="41"/>
      <c r="H240" s="41"/>
      <c r="I240" s="41"/>
      <c r="K240" s="41"/>
      <c r="M240" s="44" t="str">
        <f t="shared" si="3"/>
        <v/>
      </c>
    </row>
    <row r="241" spans="1:13" x14ac:dyDescent="0.3">
      <c r="A241" s="41"/>
      <c r="B241" s="41"/>
      <c r="C241" s="47"/>
      <c r="D241" s="41"/>
      <c r="E241" s="41"/>
      <c r="F241" s="41"/>
      <c r="G241" s="41"/>
      <c r="H241" s="41"/>
      <c r="I241" s="41"/>
      <c r="K241" s="41"/>
      <c r="M241" s="44" t="str">
        <f t="shared" si="3"/>
        <v/>
      </c>
    </row>
    <row r="242" spans="1:13" x14ac:dyDescent="0.3">
      <c r="A242" s="41"/>
      <c r="B242" s="41"/>
      <c r="C242" s="47"/>
      <c r="D242" s="41"/>
      <c r="E242" s="41"/>
      <c r="F242" s="41"/>
      <c r="G242" s="41"/>
      <c r="H242" s="41"/>
      <c r="I242" s="41"/>
      <c r="K242" s="41"/>
      <c r="M242" s="44" t="str">
        <f t="shared" si="3"/>
        <v/>
      </c>
    </row>
    <row r="243" spans="1:13" x14ac:dyDescent="0.3">
      <c r="A243" s="41"/>
      <c r="B243" s="41"/>
      <c r="C243" s="47"/>
      <c r="D243" s="41"/>
      <c r="E243" s="41"/>
      <c r="F243" s="41"/>
      <c r="G243" s="41"/>
      <c r="H243" s="41"/>
      <c r="I243" s="41"/>
      <c r="K243" s="41"/>
      <c r="M243" s="44" t="str">
        <f t="shared" si="3"/>
        <v/>
      </c>
    </row>
    <row r="244" spans="1:13" x14ac:dyDescent="0.3">
      <c r="A244" s="41"/>
      <c r="B244" s="41"/>
      <c r="C244" s="47"/>
      <c r="D244" s="41"/>
      <c r="E244" s="41"/>
      <c r="F244" s="41"/>
      <c r="G244" s="41"/>
      <c r="H244" s="41"/>
      <c r="I244" s="41"/>
      <c r="K244" s="41"/>
      <c r="M244" s="44" t="str">
        <f t="shared" si="3"/>
        <v/>
      </c>
    </row>
    <row r="245" spans="1:13" x14ac:dyDescent="0.3">
      <c r="A245" s="41"/>
      <c r="B245" s="41"/>
      <c r="C245" s="47"/>
      <c r="D245" s="41"/>
      <c r="E245" s="41"/>
      <c r="F245" s="41"/>
      <c r="G245" s="41"/>
      <c r="H245" s="41"/>
      <c r="I245" s="41"/>
      <c r="K245" s="41"/>
      <c r="M245" s="44" t="str">
        <f t="shared" si="3"/>
        <v/>
      </c>
    </row>
    <row r="246" spans="1:13" x14ac:dyDescent="0.3">
      <c r="A246" s="41"/>
      <c r="B246" s="41"/>
      <c r="C246" s="47"/>
      <c r="D246" s="41"/>
      <c r="E246" s="41"/>
      <c r="F246" s="41"/>
      <c r="G246" s="41"/>
      <c r="H246" s="41"/>
      <c r="I246" s="41"/>
      <c r="K246" s="41"/>
      <c r="M246" s="44" t="str">
        <f t="shared" si="3"/>
        <v/>
      </c>
    </row>
    <row r="247" spans="1:13" x14ac:dyDescent="0.3">
      <c r="A247" s="41"/>
      <c r="B247" s="41"/>
      <c r="C247" s="47"/>
      <c r="D247" s="41"/>
      <c r="E247" s="41"/>
      <c r="F247" s="41"/>
      <c r="G247" s="41"/>
      <c r="H247" s="41"/>
      <c r="I247" s="41"/>
      <c r="K247" s="41"/>
      <c r="M247" s="44" t="str">
        <f t="shared" si="3"/>
        <v/>
      </c>
    </row>
    <row r="248" spans="1:13" x14ac:dyDescent="0.3">
      <c r="A248" s="41"/>
      <c r="B248" s="41"/>
      <c r="C248" s="47"/>
      <c r="D248" s="41"/>
      <c r="E248" s="41"/>
      <c r="F248" s="41"/>
      <c r="G248" s="41"/>
      <c r="H248" s="41"/>
      <c r="I248" s="41"/>
      <c r="K248" s="41"/>
      <c r="M248" s="44" t="str">
        <f t="shared" si="3"/>
        <v/>
      </c>
    </row>
    <row r="249" spans="1:13" x14ac:dyDescent="0.3">
      <c r="A249" s="41"/>
      <c r="B249" s="41"/>
      <c r="C249" s="47"/>
      <c r="D249" s="41"/>
      <c r="E249" s="41"/>
      <c r="F249" s="41"/>
      <c r="G249" s="41"/>
      <c r="H249" s="41"/>
      <c r="I249" s="41"/>
      <c r="K249" s="41"/>
      <c r="M249" s="44" t="str">
        <f t="shared" si="3"/>
        <v/>
      </c>
    </row>
    <row r="250" spans="1:13" x14ac:dyDescent="0.3">
      <c r="A250" s="41"/>
      <c r="B250" s="41"/>
      <c r="C250" s="47"/>
      <c r="D250" s="41"/>
      <c r="E250" s="41"/>
      <c r="F250" s="41"/>
      <c r="G250" s="41"/>
      <c r="H250" s="41"/>
      <c r="I250" s="41"/>
      <c r="K250" s="41"/>
      <c r="M250" s="44" t="str">
        <f t="shared" si="3"/>
        <v/>
      </c>
    </row>
    <row r="251" spans="1:13" x14ac:dyDescent="0.3">
      <c r="A251" s="41"/>
      <c r="B251" s="41"/>
      <c r="C251" s="47"/>
      <c r="D251" s="41"/>
      <c r="E251" s="41"/>
      <c r="F251" s="41"/>
      <c r="G251" s="41"/>
      <c r="H251" s="41"/>
      <c r="I251" s="41"/>
      <c r="K251" s="41"/>
      <c r="M251" s="44" t="str">
        <f t="shared" si="3"/>
        <v/>
      </c>
    </row>
    <row r="252" spans="1:13" x14ac:dyDescent="0.3">
      <c r="A252" s="41"/>
      <c r="B252" s="41"/>
      <c r="C252" s="47"/>
      <c r="D252" s="41"/>
      <c r="E252" s="41"/>
      <c r="F252" s="41"/>
      <c r="G252" s="41"/>
      <c r="H252" s="41"/>
      <c r="I252" s="41"/>
      <c r="K252" s="41"/>
      <c r="M252" s="44" t="str">
        <f t="shared" si="3"/>
        <v/>
      </c>
    </row>
    <row r="253" spans="1:13" x14ac:dyDescent="0.3">
      <c r="A253" s="41"/>
      <c r="B253" s="41"/>
      <c r="C253" s="47"/>
      <c r="D253" s="41"/>
      <c r="E253" s="41"/>
      <c r="F253" s="41"/>
      <c r="G253" s="41"/>
      <c r="H253" s="41"/>
      <c r="I253" s="41"/>
      <c r="K253" s="41"/>
      <c r="M253" s="44" t="str">
        <f t="shared" si="3"/>
        <v/>
      </c>
    </row>
    <row r="254" spans="1:13" x14ac:dyDescent="0.3">
      <c r="A254" s="41"/>
      <c r="B254" s="41"/>
      <c r="C254" s="47"/>
      <c r="D254" s="41"/>
      <c r="E254" s="41"/>
      <c r="F254" s="41"/>
      <c r="G254" s="41"/>
      <c r="H254" s="41"/>
      <c r="I254" s="41"/>
      <c r="K254" s="41"/>
      <c r="M254" s="44" t="str">
        <f t="shared" si="3"/>
        <v/>
      </c>
    </row>
    <row r="255" spans="1:13" x14ac:dyDescent="0.3">
      <c r="A255" s="41"/>
      <c r="B255" s="41"/>
      <c r="C255" s="47"/>
      <c r="D255" s="41"/>
      <c r="E255" s="41"/>
      <c r="F255" s="41"/>
      <c r="G255" s="41"/>
      <c r="H255" s="41"/>
      <c r="I255" s="41"/>
      <c r="K255" s="41"/>
      <c r="M255" s="44" t="str">
        <f t="shared" si="3"/>
        <v/>
      </c>
    </row>
    <row r="256" spans="1:13" x14ac:dyDescent="0.3">
      <c r="A256" s="41"/>
      <c r="B256" s="41"/>
      <c r="C256" s="47"/>
      <c r="D256" s="41"/>
      <c r="E256" s="41"/>
      <c r="F256" s="41"/>
      <c r="G256" s="41"/>
      <c r="H256" s="41"/>
      <c r="I256" s="41"/>
      <c r="K256" s="41"/>
      <c r="M256" s="44" t="str">
        <f t="shared" si="3"/>
        <v/>
      </c>
    </row>
    <row r="257" spans="1:13" x14ac:dyDescent="0.3">
      <c r="A257" s="41"/>
      <c r="B257" s="41"/>
      <c r="C257" s="47"/>
      <c r="D257" s="41"/>
      <c r="E257" s="41"/>
      <c r="F257" s="41"/>
      <c r="G257" s="41"/>
      <c r="H257" s="41"/>
      <c r="I257" s="41"/>
      <c r="K257" s="41"/>
      <c r="M257" s="44" t="str">
        <f t="shared" si="3"/>
        <v/>
      </c>
    </row>
    <row r="258" spans="1:13" x14ac:dyDescent="0.3">
      <c r="A258" s="41"/>
      <c r="B258" s="41"/>
      <c r="C258" s="47"/>
      <c r="D258" s="41"/>
      <c r="E258" s="41"/>
      <c r="F258" s="41"/>
      <c r="G258" s="41"/>
      <c r="H258" s="41"/>
      <c r="I258" s="41"/>
      <c r="K258" s="41"/>
      <c r="M258" s="44" t="str">
        <f t="shared" si="3"/>
        <v/>
      </c>
    </row>
    <row r="259" spans="1:13" x14ac:dyDescent="0.3">
      <c r="A259" s="41"/>
      <c r="B259" s="41"/>
      <c r="C259" s="47"/>
      <c r="D259" s="41"/>
      <c r="E259" s="41"/>
      <c r="F259" s="41"/>
      <c r="G259" s="41"/>
      <c r="H259" s="41"/>
      <c r="I259" s="41"/>
      <c r="K259" s="41"/>
      <c r="M259" s="44" t="str">
        <f t="shared" ref="M259:M322" si="4">IF($B$3:$B$1522&lt;&gt;"",$B$3:$B$1522,"")</f>
        <v/>
      </c>
    </row>
    <row r="260" spans="1:13" x14ac:dyDescent="0.3">
      <c r="A260" s="41"/>
      <c r="B260" s="41"/>
      <c r="C260" s="47"/>
      <c r="D260" s="41"/>
      <c r="E260" s="41"/>
      <c r="F260" s="41"/>
      <c r="G260" s="41"/>
      <c r="H260" s="41"/>
      <c r="I260" s="41"/>
      <c r="K260" s="41"/>
      <c r="M260" s="44" t="str">
        <f t="shared" si="4"/>
        <v/>
      </c>
    </row>
    <row r="261" spans="1:13" x14ac:dyDescent="0.3">
      <c r="A261" s="41"/>
      <c r="B261" s="41"/>
      <c r="C261" s="47"/>
      <c r="D261" s="41"/>
      <c r="E261" s="41"/>
      <c r="F261" s="41"/>
      <c r="G261" s="41"/>
      <c r="H261" s="41"/>
      <c r="I261" s="41"/>
      <c r="K261" s="41"/>
      <c r="M261" s="44" t="str">
        <f t="shared" si="4"/>
        <v/>
      </c>
    </row>
    <row r="262" spans="1:13" x14ac:dyDescent="0.3">
      <c r="A262" s="41"/>
      <c r="B262" s="41"/>
      <c r="C262" s="47"/>
      <c r="D262" s="41"/>
      <c r="E262" s="41"/>
      <c r="F262" s="41"/>
      <c r="G262" s="41"/>
      <c r="H262" s="41"/>
      <c r="I262" s="41"/>
      <c r="K262" s="41"/>
      <c r="M262" s="44" t="str">
        <f t="shared" si="4"/>
        <v/>
      </c>
    </row>
    <row r="263" spans="1:13" x14ac:dyDescent="0.3">
      <c r="A263" s="41"/>
      <c r="B263" s="41"/>
      <c r="C263" s="47"/>
      <c r="D263" s="41"/>
      <c r="E263" s="41"/>
      <c r="F263" s="41"/>
      <c r="G263" s="41"/>
      <c r="H263" s="41"/>
      <c r="I263" s="41"/>
      <c r="K263" s="41"/>
      <c r="M263" s="44" t="str">
        <f t="shared" si="4"/>
        <v/>
      </c>
    </row>
    <row r="264" spans="1:13" x14ac:dyDescent="0.3">
      <c r="A264" s="41"/>
      <c r="B264" s="41"/>
      <c r="C264" s="47"/>
      <c r="D264" s="41"/>
      <c r="E264" s="41"/>
      <c r="F264" s="41"/>
      <c r="G264" s="41"/>
      <c r="H264" s="41"/>
      <c r="I264" s="41"/>
      <c r="K264" s="41"/>
      <c r="M264" s="44" t="str">
        <f t="shared" si="4"/>
        <v/>
      </c>
    </row>
    <row r="265" spans="1:13" x14ac:dyDescent="0.3">
      <c r="A265" s="41"/>
      <c r="B265" s="41"/>
      <c r="C265" s="47"/>
      <c r="D265" s="41"/>
      <c r="E265" s="41"/>
      <c r="F265" s="41"/>
      <c r="G265" s="41"/>
      <c r="H265" s="41"/>
      <c r="I265" s="41"/>
      <c r="K265" s="41"/>
      <c r="M265" s="44" t="str">
        <f t="shared" si="4"/>
        <v/>
      </c>
    </row>
    <row r="266" spans="1:13" x14ac:dyDescent="0.3">
      <c r="A266" s="41"/>
      <c r="B266" s="41"/>
      <c r="C266" s="47"/>
      <c r="D266" s="41"/>
      <c r="E266" s="41"/>
      <c r="F266" s="41"/>
      <c r="G266" s="41"/>
      <c r="H266" s="41"/>
      <c r="I266" s="41"/>
      <c r="K266" s="41"/>
      <c r="M266" s="44" t="str">
        <f t="shared" si="4"/>
        <v/>
      </c>
    </row>
    <row r="267" spans="1:13" x14ac:dyDescent="0.3">
      <c r="A267" s="41"/>
      <c r="B267" s="41"/>
      <c r="C267" s="47"/>
      <c r="D267" s="41"/>
      <c r="E267" s="41"/>
      <c r="F267" s="41"/>
      <c r="G267" s="41"/>
      <c r="H267" s="41"/>
      <c r="I267" s="41"/>
      <c r="K267" s="41"/>
      <c r="M267" s="44" t="str">
        <f t="shared" si="4"/>
        <v/>
      </c>
    </row>
    <row r="268" spans="1:13" x14ac:dyDescent="0.3">
      <c r="A268" s="41"/>
      <c r="B268" s="41"/>
      <c r="C268" s="47"/>
      <c r="D268" s="41"/>
      <c r="E268" s="41"/>
      <c r="F268" s="41"/>
      <c r="G268" s="41"/>
      <c r="H268" s="41"/>
      <c r="I268" s="41"/>
      <c r="K268" s="41"/>
      <c r="M268" s="44" t="str">
        <f t="shared" si="4"/>
        <v/>
      </c>
    </row>
    <row r="269" spans="1:13" x14ac:dyDescent="0.3">
      <c r="A269" s="41"/>
      <c r="B269" s="41"/>
      <c r="C269" s="47"/>
      <c r="D269" s="41"/>
      <c r="E269" s="41"/>
      <c r="F269" s="41"/>
      <c r="G269" s="41"/>
      <c r="H269" s="41"/>
      <c r="I269" s="41"/>
      <c r="K269" s="41"/>
      <c r="M269" s="44" t="str">
        <f t="shared" si="4"/>
        <v/>
      </c>
    </row>
    <row r="270" spans="1:13" x14ac:dyDescent="0.3">
      <c r="A270" s="41"/>
      <c r="B270" s="41"/>
      <c r="C270" s="47"/>
      <c r="D270" s="41"/>
      <c r="E270" s="41"/>
      <c r="F270" s="41"/>
      <c r="G270" s="41"/>
      <c r="H270" s="41"/>
      <c r="I270" s="41"/>
      <c r="K270" s="41"/>
      <c r="M270" s="44" t="str">
        <f t="shared" si="4"/>
        <v/>
      </c>
    </row>
    <row r="271" spans="1:13" x14ac:dyDescent="0.3">
      <c r="A271" s="41"/>
      <c r="B271" s="41"/>
      <c r="C271" s="47"/>
      <c r="D271" s="41"/>
      <c r="E271" s="41"/>
      <c r="F271" s="41"/>
      <c r="G271" s="41"/>
      <c r="H271" s="41"/>
      <c r="I271" s="41"/>
      <c r="K271" s="41"/>
      <c r="M271" s="44" t="str">
        <f t="shared" si="4"/>
        <v/>
      </c>
    </row>
    <row r="272" spans="1:13" x14ac:dyDescent="0.3">
      <c r="A272" s="41"/>
      <c r="B272" s="41"/>
      <c r="C272" s="47"/>
      <c r="D272" s="41"/>
      <c r="E272" s="41"/>
      <c r="F272" s="41"/>
      <c r="G272" s="41"/>
      <c r="H272" s="41"/>
      <c r="I272" s="41"/>
      <c r="K272" s="41"/>
      <c r="M272" s="44" t="str">
        <f t="shared" si="4"/>
        <v/>
      </c>
    </row>
    <row r="273" spans="1:13" x14ac:dyDescent="0.3">
      <c r="A273" s="41"/>
      <c r="B273" s="41"/>
      <c r="C273" s="47"/>
      <c r="D273" s="41"/>
      <c r="E273" s="41"/>
      <c r="F273" s="41"/>
      <c r="G273" s="41"/>
      <c r="H273" s="41"/>
      <c r="I273" s="41"/>
      <c r="K273" s="41"/>
      <c r="M273" s="44" t="str">
        <f t="shared" si="4"/>
        <v/>
      </c>
    </row>
    <row r="274" spans="1:13" x14ac:dyDescent="0.3">
      <c r="A274" s="41"/>
      <c r="B274" s="41"/>
      <c r="C274" s="47"/>
      <c r="D274" s="41"/>
      <c r="E274" s="41"/>
      <c r="F274" s="41"/>
      <c r="G274" s="41"/>
      <c r="H274" s="41"/>
      <c r="I274" s="41"/>
      <c r="K274" s="41"/>
      <c r="M274" s="44" t="str">
        <f t="shared" si="4"/>
        <v/>
      </c>
    </row>
    <row r="275" spans="1:13" x14ac:dyDescent="0.3">
      <c r="A275" s="41"/>
      <c r="B275" s="41"/>
      <c r="C275" s="47"/>
      <c r="D275" s="41"/>
      <c r="E275" s="41"/>
      <c r="F275" s="41"/>
      <c r="G275" s="41"/>
      <c r="H275" s="41"/>
      <c r="I275" s="41"/>
      <c r="K275" s="41"/>
      <c r="M275" s="44" t="str">
        <f t="shared" si="4"/>
        <v/>
      </c>
    </row>
    <row r="276" spans="1:13" x14ac:dyDescent="0.3">
      <c r="A276" s="41"/>
      <c r="B276" s="41"/>
      <c r="C276" s="47"/>
      <c r="D276" s="41"/>
      <c r="E276" s="41"/>
      <c r="F276" s="41"/>
      <c r="G276" s="41"/>
      <c r="H276" s="41"/>
      <c r="I276" s="41"/>
      <c r="K276" s="41"/>
      <c r="M276" s="44" t="str">
        <f t="shared" si="4"/>
        <v/>
      </c>
    </row>
    <row r="277" spans="1:13" x14ac:dyDescent="0.3">
      <c r="A277" s="41"/>
      <c r="B277" s="41"/>
      <c r="C277" s="47"/>
      <c r="D277" s="41"/>
      <c r="E277" s="41"/>
      <c r="F277" s="41"/>
      <c r="G277" s="41"/>
      <c r="H277" s="41"/>
      <c r="I277" s="41"/>
      <c r="K277" s="41"/>
      <c r="M277" s="44" t="str">
        <f t="shared" si="4"/>
        <v/>
      </c>
    </row>
    <row r="278" spans="1:13" x14ac:dyDescent="0.3">
      <c r="A278" s="41"/>
      <c r="B278" s="41"/>
      <c r="C278" s="47"/>
      <c r="D278" s="41"/>
      <c r="E278" s="41"/>
      <c r="F278" s="41"/>
      <c r="G278" s="41"/>
      <c r="H278" s="41"/>
      <c r="I278" s="41"/>
      <c r="K278" s="41"/>
      <c r="M278" s="44" t="str">
        <f t="shared" si="4"/>
        <v/>
      </c>
    </row>
    <row r="279" spans="1:13" x14ac:dyDescent="0.3">
      <c r="A279" s="41"/>
      <c r="B279" s="41"/>
      <c r="C279" s="47"/>
      <c r="D279" s="41"/>
      <c r="E279" s="41"/>
      <c r="F279" s="41"/>
      <c r="G279" s="41"/>
      <c r="H279" s="41"/>
      <c r="I279" s="41"/>
      <c r="K279" s="41"/>
      <c r="M279" s="44" t="str">
        <f t="shared" si="4"/>
        <v/>
      </c>
    </row>
    <row r="280" spans="1:13" x14ac:dyDescent="0.3">
      <c r="A280" s="41"/>
      <c r="B280" s="41"/>
      <c r="C280" s="47"/>
      <c r="D280" s="41"/>
      <c r="E280" s="41"/>
      <c r="F280" s="41"/>
      <c r="G280" s="41"/>
      <c r="H280" s="41"/>
      <c r="I280" s="41"/>
      <c r="K280" s="41"/>
      <c r="M280" s="44" t="str">
        <f t="shared" si="4"/>
        <v/>
      </c>
    </row>
    <row r="281" spans="1:13" x14ac:dyDescent="0.3">
      <c r="A281" s="41"/>
      <c r="B281" s="41"/>
      <c r="C281" s="47"/>
      <c r="D281" s="41"/>
      <c r="E281" s="41"/>
      <c r="F281" s="41"/>
      <c r="G281" s="41"/>
      <c r="H281" s="41"/>
      <c r="I281" s="41"/>
      <c r="K281" s="41"/>
      <c r="M281" s="44" t="str">
        <f t="shared" si="4"/>
        <v/>
      </c>
    </row>
    <row r="282" spans="1:13" x14ac:dyDescent="0.3">
      <c r="A282" s="41"/>
      <c r="B282" s="41"/>
      <c r="C282" s="47"/>
      <c r="D282" s="41"/>
      <c r="E282" s="41"/>
      <c r="F282" s="41"/>
      <c r="G282" s="41"/>
      <c r="H282" s="41"/>
      <c r="I282" s="41"/>
      <c r="K282" s="41"/>
      <c r="M282" s="44" t="str">
        <f t="shared" si="4"/>
        <v/>
      </c>
    </row>
    <row r="283" spans="1:13" x14ac:dyDescent="0.3">
      <c r="A283" s="41"/>
      <c r="B283" s="41"/>
      <c r="C283" s="47"/>
      <c r="D283" s="41"/>
      <c r="E283" s="41"/>
      <c r="F283" s="41"/>
      <c r="G283" s="41"/>
      <c r="H283" s="41"/>
      <c r="I283" s="41"/>
      <c r="K283" s="41"/>
      <c r="M283" s="44" t="str">
        <f t="shared" si="4"/>
        <v/>
      </c>
    </row>
    <row r="284" spans="1:13" x14ac:dyDescent="0.3">
      <c r="A284" s="41"/>
      <c r="B284" s="41"/>
      <c r="C284" s="47"/>
      <c r="D284" s="41"/>
      <c r="E284" s="41"/>
      <c r="F284" s="41"/>
      <c r="G284" s="41"/>
      <c r="H284" s="41"/>
      <c r="I284" s="41"/>
      <c r="K284" s="41"/>
      <c r="M284" s="44" t="str">
        <f t="shared" si="4"/>
        <v/>
      </c>
    </row>
    <row r="285" spans="1:13" x14ac:dyDescent="0.3">
      <c r="A285" s="41"/>
      <c r="B285" s="41"/>
      <c r="C285" s="47"/>
      <c r="D285" s="41"/>
      <c r="E285" s="41"/>
      <c r="F285" s="41"/>
      <c r="G285" s="41"/>
      <c r="H285" s="41"/>
      <c r="I285" s="41"/>
      <c r="K285" s="41"/>
      <c r="M285" s="44" t="str">
        <f t="shared" si="4"/>
        <v/>
      </c>
    </row>
    <row r="286" spans="1:13" x14ac:dyDescent="0.3">
      <c r="A286" s="41"/>
      <c r="B286" s="41"/>
      <c r="C286" s="47"/>
      <c r="D286" s="41"/>
      <c r="E286" s="41"/>
      <c r="F286" s="41"/>
      <c r="G286" s="41"/>
      <c r="H286" s="41"/>
      <c r="I286" s="41"/>
      <c r="K286" s="41"/>
      <c r="M286" s="44" t="str">
        <f t="shared" si="4"/>
        <v/>
      </c>
    </row>
    <row r="287" spans="1:13" x14ac:dyDescent="0.3">
      <c r="A287" s="41"/>
      <c r="B287" s="41"/>
      <c r="C287" s="47"/>
      <c r="D287" s="41"/>
      <c r="E287" s="41"/>
      <c r="F287" s="41"/>
      <c r="G287" s="41"/>
      <c r="H287" s="41"/>
      <c r="I287" s="41"/>
      <c r="K287" s="41"/>
      <c r="M287" s="44" t="str">
        <f t="shared" si="4"/>
        <v/>
      </c>
    </row>
    <row r="288" spans="1:13" x14ac:dyDescent="0.3">
      <c r="A288" s="41"/>
      <c r="B288" s="41"/>
      <c r="C288" s="47"/>
      <c r="D288" s="41"/>
      <c r="E288" s="41"/>
      <c r="F288" s="41"/>
      <c r="G288" s="41"/>
      <c r="H288" s="41"/>
      <c r="I288" s="41"/>
      <c r="K288" s="41"/>
      <c r="M288" s="44" t="str">
        <f t="shared" si="4"/>
        <v/>
      </c>
    </row>
    <row r="289" spans="1:13" x14ac:dyDescent="0.3">
      <c r="A289" s="41"/>
      <c r="B289" s="41"/>
      <c r="C289" s="47"/>
      <c r="D289" s="41"/>
      <c r="E289" s="41"/>
      <c r="F289" s="41"/>
      <c r="G289" s="41"/>
      <c r="H289" s="41"/>
      <c r="I289" s="41"/>
      <c r="K289" s="41"/>
      <c r="M289" s="44" t="str">
        <f t="shared" si="4"/>
        <v/>
      </c>
    </row>
    <row r="290" spans="1:13" x14ac:dyDescent="0.3">
      <c r="A290" s="41"/>
      <c r="B290" s="41"/>
      <c r="C290" s="47"/>
      <c r="D290" s="41"/>
      <c r="E290" s="41"/>
      <c r="F290" s="41"/>
      <c r="G290" s="41"/>
      <c r="H290" s="41"/>
      <c r="I290" s="41"/>
      <c r="K290" s="41"/>
      <c r="M290" s="44" t="str">
        <f t="shared" si="4"/>
        <v/>
      </c>
    </row>
    <row r="291" spans="1:13" x14ac:dyDescent="0.3">
      <c r="A291" s="41"/>
      <c r="B291" s="41"/>
      <c r="C291" s="47"/>
      <c r="D291" s="41"/>
      <c r="E291" s="41"/>
      <c r="F291" s="41"/>
      <c r="G291" s="41"/>
      <c r="H291" s="41"/>
      <c r="I291" s="41"/>
      <c r="K291" s="41"/>
      <c r="M291" s="44" t="str">
        <f t="shared" si="4"/>
        <v/>
      </c>
    </row>
    <row r="292" spans="1:13" x14ac:dyDescent="0.3">
      <c r="A292" s="41"/>
      <c r="B292" s="41"/>
      <c r="C292" s="47"/>
      <c r="D292" s="41"/>
      <c r="E292" s="41"/>
      <c r="F292" s="41"/>
      <c r="G292" s="41"/>
      <c r="H292" s="41"/>
      <c r="I292" s="41"/>
      <c r="K292" s="41"/>
      <c r="M292" s="44" t="str">
        <f t="shared" si="4"/>
        <v/>
      </c>
    </row>
    <row r="293" spans="1:13" x14ac:dyDescent="0.3">
      <c r="A293" s="41"/>
      <c r="B293" s="41"/>
      <c r="C293" s="47"/>
      <c r="D293" s="41"/>
      <c r="E293" s="41"/>
      <c r="F293" s="41"/>
      <c r="G293" s="41"/>
      <c r="H293" s="41"/>
      <c r="I293" s="41"/>
      <c r="K293" s="41"/>
      <c r="M293" s="44" t="str">
        <f t="shared" si="4"/>
        <v/>
      </c>
    </row>
    <row r="294" spans="1:13" x14ac:dyDescent="0.3">
      <c r="A294" s="41"/>
      <c r="B294" s="41"/>
      <c r="C294" s="47"/>
      <c r="D294" s="41"/>
      <c r="E294" s="41"/>
      <c r="F294" s="41"/>
      <c r="G294" s="41"/>
      <c r="H294" s="41"/>
      <c r="I294" s="41"/>
      <c r="K294" s="41"/>
      <c r="M294" s="44" t="str">
        <f t="shared" si="4"/>
        <v/>
      </c>
    </row>
    <row r="295" spans="1:13" x14ac:dyDescent="0.3">
      <c r="A295" s="41"/>
      <c r="B295" s="41"/>
      <c r="C295" s="47"/>
      <c r="D295" s="41"/>
      <c r="E295" s="41"/>
      <c r="F295" s="41"/>
      <c r="G295" s="41"/>
      <c r="H295" s="41"/>
      <c r="I295" s="41"/>
      <c r="K295" s="41"/>
      <c r="M295" s="44" t="str">
        <f t="shared" si="4"/>
        <v/>
      </c>
    </row>
    <row r="296" spans="1:13" x14ac:dyDescent="0.3">
      <c r="A296" s="41"/>
      <c r="B296" s="41"/>
      <c r="C296" s="47"/>
      <c r="D296" s="41"/>
      <c r="E296" s="41"/>
      <c r="F296" s="41"/>
      <c r="G296" s="41"/>
      <c r="H296" s="41"/>
      <c r="I296" s="41"/>
      <c r="K296" s="41"/>
      <c r="M296" s="44" t="str">
        <f t="shared" si="4"/>
        <v/>
      </c>
    </row>
    <row r="297" spans="1:13" x14ac:dyDescent="0.3">
      <c r="A297" s="41"/>
      <c r="B297" s="41"/>
      <c r="C297" s="47"/>
      <c r="D297" s="41"/>
      <c r="E297" s="41"/>
      <c r="F297" s="41"/>
      <c r="G297" s="41"/>
      <c r="H297" s="41"/>
      <c r="I297" s="41"/>
      <c r="K297" s="41"/>
      <c r="M297" s="44" t="str">
        <f t="shared" si="4"/>
        <v/>
      </c>
    </row>
    <row r="298" spans="1:13" x14ac:dyDescent="0.3">
      <c r="A298" s="41"/>
      <c r="B298" s="41"/>
      <c r="C298" s="47"/>
      <c r="D298" s="41"/>
      <c r="E298" s="41"/>
      <c r="F298" s="41"/>
      <c r="G298" s="41"/>
      <c r="H298" s="41"/>
      <c r="I298" s="41"/>
      <c r="K298" s="41"/>
      <c r="M298" s="44" t="str">
        <f t="shared" si="4"/>
        <v/>
      </c>
    </row>
    <row r="299" spans="1:13" x14ac:dyDescent="0.3">
      <c r="A299" s="41"/>
      <c r="B299" s="41"/>
      <c r="C299" s="47"/>
      <c r="D299" s="41"/>
      <c r="E299" s="41"/>
      <c r="F299" s="41"/>
      <c r="G299" s="41"/>
      <c r="H299" s="41"/>
      <c r="I299" s="41"/>
      <c r="K299" s="41"/>
      <c r="M299" s="44" t="str">
        <f t="shared" si="4"/>
        <v/>
      </c>
    </row>
    <row r="300" spans="1:13" x14ac:dyDescent="0.3">
      <c r="A300" s="41"/>
      <c r="B300" s="41"/>
      <c r="C300" s="47"/>
      <c r="D300" s="41"/>
      <c r="E300" s="41"/>
      <c r="F300" s="41"/>
      <c r="G300" s="41"/>
      <c r="H300" s="41"/>
      <c r="I300" s="41"/>
      <c r="K300" s="41"/>
      <c r="M300" s="44" t="str">
        <f t="shared" si="4"/>
        <v/>
      </c>
    </row>
    <row r="301" spans="1:13" x14ac:dyDescent="0.3">
      <c r="A301" s="41"/>
      <c r="B301" s="41"/>
      <c r="C301" s="47"/>
      <c r="D301" s="41"/>
      <c r="E301" s="41"/>
      <c r="F301" s="41"/>
      <c r="G301" s="41"/>
      <c r="H301" s="41"/>
      <c r="I301" s="41"/>
      <c r="K301" s="41"/>
      <c r="M301" s="44" t="str">
        <f t="shared" si="4"/>
        <v/>
      </c>
    </row>
    <row r="302" spans="1:13" x14ac:dyDescent="0.3">
      <c r="A302" s="41"/>
      <c r="B302" s="41"/>
      <c r="C302" s="47"/>
      <c r="D302" s="41"/>
      <c r="E302" s="41"/>
      <c r="F302" s="41"/>
      <c r="G302" s="41"/>
      <c r="H302" s="41"/>
      <c r="I302" s="41"/>
      <c r="K302" s="41"/>
      <c r="M302" s="44" t="str">
        <f t="shared" si="4"/>
        <v/>
      </c>
    </row>
    <row r="303" spans="1:13" x14ac:dyDescent="0.3">
      <c r="A303" s="41"/>
      <c r="B303" s="41"/>
      <c r="C303" s="47"/>
      <c r="D303" s="41"/>
      <c r="E303" s="41"/>
      <c r="F303" s="41"/>
      <c r="G303" s="41"/>
      <c r="H303" s="41"/>
      <c r="I303" s="41"/>
      <c r="K303" s="41"/>
      <c r="M303" s="44" t="str">
        <f t="shared" si="4"/>
        <v/>
      </c>
    </row>
    <row r="304" spans="1:13" x14ac:dyDescent="0.3">
      <c r="A304" s="41"/>
      <c r="B304" s="41"/>
      <c r="C304" s="47"/>
      <c r="D304" s="41"/>
      <c r="E304" s="41"/>
      <c r="F304" s="41"/>
      <c r="G304" s="41"/>
      <c r="H304" s="41"/>
      <c r="I304" s="41"/>
      <c r="K304" s="41"/>
      <c r="M304" s="44" t="str">
        <f t="shared" si="4"/>
        <v/>
      </c>
    </row>
    <row r="305" spans="1:13" x14ac:dyDescent="0.3">
      <c r="A305" s="41"/>
      <c r="B305" s="41"/>
      <c r="C305" s="47"/>
      <c r="D305" s="41"/>
      <c r="E305" s="41"/>
      <c r="F305" s="41"/>
      <c r="G305" s="41"/>
      <c r="H305" s="41"/>
      <c r="I305" s="41"/>
      <c r="K305" s="41"/>
      <c r="M305" s="44" t="str">
        <f t="shared" si="4"/>
        <v/>
      </c>
    </row>
    <row r="306" spans="1:13" x14ac:dyDescent="0.3">
      <c r="A306" s="41"/>
      <c r="B306" s="41"/>
      <c r="C306" s="47"/>
      <c r="D306" s="41"/>
      <c r="E306" s="41"/>
      <c r="F306" s="41"/>
      <c r="G306" s="41"/>
      <c r="H306" s="41"/>
      <c r="I306" s="41"/>
      <c r="K306" s="41"/>
      <c r="M306" s="44" t="str">
        <f t="shared" si="4"/>
        <v/>
      </c>
    </row>
    <row r="307" spans="1:13" x14ac:dyDescent="0.3">
      <c r="A307" s="41"/>
      <c r="B307" s="41"/>
      <c r="C307" s="47"/>
      <c r="D307" s="41"/>
      <c r="E307" s="41"/>
      <c r="F307" s="41"/>
      <c r="G307" s="41"/>
      <c r="H307" s="41"/>
      <c r="I307" s="41"/>
      <c r="K307" s="41"/>
      <c r="M307" s="44" t="str">
        <f t="shared" si="4"/>
        <v/>
      </c>
    </row>
    <row r="308" spans="1:13" x14ac:dyDescent="0.3">
      <c r="A308" s="41"/>
      <c r="B308" s="41"/>
      <c r="C308" s="47"/>
      <c r="D308" s="41"/>
      <c r="E308" s="41"/>
      <c r="F308" s="41"/>
      <c r="G308" s="41"/>
      <c r="H308" s="41"/>
      <c r="I308" s="41"/>
      <c r="K308" s="41"/>
      <c r="M308" s="44" t="str">
        <f t="shared" si="4"/>
        <v/>
      </c>
    </row>
    <row r="309" spans="1:13" x14ac:dyDescent="0.3">
      <c r="A309" s="41"/>
      <c r="B309" s="41"/>
      <c r="C309" s="47"/>
      <c r="D309" s="41"/>
      <c r="E309" s="41"/>
      <c r="F309" s="41"/>
      <c r="G309" s="41"/>
      <c r="H309" s="41"/>
      <c r="I309" s="41"/>
      <c r="K309" s="41"/>
      <c r="M309" s="44" t="str">
        <f t="shared" si="4"/>
        <v/>
      </c>
    </row>
    <row r="310" spans="1:13" x14ac:dyDescent="0.3">
      <c r="A310" s="41"/>
      <c r="B310" s="41"/>
      <c r="C310" s="47"/>
      <c r="D310" s="41"/>
      <c r="E310" s="41"/>
      <c r="F310" s="41"/>
      <c r="G310" s="41"/>
      <c r="H310" s="41"/>
      <c r="I310" s="41"/>
      <c r="K310" s="41"/>
      <c r="M310" s="44" t="str">
        <f t="shared" si="4"/>
        <v/>
      </c>
    </row>
    <row r="311" spans="1:13" x14ac:dyDescent="0.3">
      <c r="A311" s="41"/>
      <c r="B311" s="41"/>
      <c r="C311" s="47"/>
      <c r="D311" s="41"/>
      <c r="E311" s="41"/>
      <c r="F311" s="41"/>
      <c r="G311" s="41"/>
      <c r="H311" s="41"/>
      <c r="I311" s="41"/>
      <c r="K311" s="41"/>
      <c r="M311" s="44" t="str">
        <f t="shared" si="4"/>
        <v/>
      </c>
    </row>
    <row r="312" spans="1:13" x14ac:dyDescent="0.3">
      <c r="A312" s="41"/>
      <c r="B312" s="41"/>
      <c r="C312" s="47"/>
      <c r="D312" s="41"/>
      <c r="E312" s="41"/>
      <c r="F312" s="41"/>
      <c r="G312" s="41"/>
      <c r="H312" s="41"/>
      <c r="I312" s="41"/>
      <c r="K312" s="41"/>
      <c r="M312" s="44" t="str">
        <f t="shared" si="4"/>
        <v/>
      </c>
    </row>
    <row r="313" spans="1:13" x14ac:dyDescent="0.3">
      <c r="A313" s="41"/>
      <c r="B313" s="41"/>
      <c r="C313" s="47"/>
      <c r="D313" s="41"/>
      <c r="E313" s="41"/>
      <c r="F313" s="41"/>
      <c r="G313" s="41"/>
      <c r="H313" s="41"/>
      <c r="I313" s="41"/>
      <c r="K313" s="41"/>
      <c r="M313" s="44" t="str">
        <f t="shared" si="4"/>
        <v/>
      </c>
    </row>
    <row r="314" spans="1:13" x14ac:dyDescent="0.3">
      <c r="A314" s="41"/>
      <c r="B314" s="41"/>
      <c r="C314" s="47"/>
      <c r="D314" s="41"/>
      <c r="E314" s="41"/>
      <c r="F314" s="41"/>
      <c r="G314" s="41"/>
      <c r="H314" s="41"/>
      <c r="I314" s="41"/>
      <c r="K314" s="41"/>
      <c r="M314" s="44" t="str">
        <f t="shared" si="4"/>
        <v/>
      </c>
    </row>
    <row r="315" spans="1:13" x14ac:dyDescent="0.3">
      <c r="A315" s="41"/>
      <c r="B315" s="41"/>
      <c r="C315" s="47"/>
      <c r="D315" s="41"/>
      <c r="E315" s="41"/>
      <c r="F315" s="41"/>
      <c r="G315" s="41"/>
      <c r="H315" s="41"/>
      <c r="I315" s="41"/>
      <c r="K315" s="41"/>
      <c r="M315" s="44" t="str">
        <f t="shared" si="4"/>
        <v/>
      </c>
    </row>
    <row r="316" spans="1:13" x14ac:dyDescent="0.3">
      <c r="A316" s="41"/>
      <c r="B316" s="41"/>
      <c r="C316" s="47"/>
      <c r="D316" s="41"/>
      <c r="E316" s="41"/>
      <c r="F316" s="41"/>
      <c r="G316" s="41"/>
      <c r="H316" s="41"/>
      <c r="I316" s="41"/>
      <c r="K316" s="41"/>
      <c r="M316" s="44" t="str">
        <f t="shared" si="4"/>
        <v/>
      </c>
    </row>
    <row r="317" spans="1:13" x14ac:dyDescent="0.3">
      <c r="A317" s="41"/>
      <c r="B317" s="41"/>
      <c r="C317" s="47"/>
      <c r="D317" s="41"/>
      <c r="E317" s="41"/>
      <c r="F317" s="41"/>
      <c r="G317" s="41"/>
      <c r="H317" s="41"/>
      <c r="I317" s="41"/>
      <c r="K317" s="41"/>
      <c r="M317" s="44" t="str">
        <f t="shared" si="4"/>
        <v/>
      </c>
    </row>
    <row r="318" spans="1:13" x14ac:dyDescent="0.3">
      <c r="A318" s="41"/>
      <c r="B318" s="41"/>
      <c r="C318" s="47"/>
      <c r="D318" s="41"/>
      <c r="E318" s="41"/>
      <c r="F318" s="41"/>
      <c r="G318" s="41"/>
      <c r="H318" s="41"/>
      <c r="I318" s="41"/>
      <c r="K318" s="41"/>
      <c r="M318" s="44" t="str">
        <f t="shared" si="4"/>
        <v/>
      </c>
    </row>
    <row r="319" spans="1:13" x14ac:dyDescent="0.3">
      <c r="A319" s="41"/>
      <c r="B319" s="41"/>
      <c r="C319" s="47"/>
      <c r="D319" s="41"/>
      <c r="E319" s="41"/>
      <c r="F319" s="41"/>
      <c r="G319" s="41"/>
      <c r="H319" s="41"/>
      <c r="I319" s="41"/>
      <c r="K319" s="41"/>
      <c r="M319" s="44" t="str">
        <f t="shared" si="4"/>
        <v/>
      </c>
    </row>
    <row r="320" spans="1:13" x14ac:dyDescent="0.3">
      <c r="A320" s="41"/>
      <c r="B320" s="41"/>
      <c r="C320" s="47"/>
      <c r="D320" s="41"/>
      <c r="E320" s="41"/>
      <c r="F320" s="41"/>
      <c r="G320" s="41"/>
      <c r="H320" s="41"/>
      <c r="I320" s="41"/>
      <c r="K320" s="41"/>
      <c r="M320" s="44" t="str">
        <f t="shared" si="4"/>
        <v/>
      </c>
    </row>
    <row r="321" spans="1:13" x14ac:dyDescent="0.3">
      <c r="A321" s="41"/>
      <c r="B321" s="41"/>
      <c r="C321" s="47"/>
      <c r="D321" s="41"/>
      <c r="E321" s="41"/>
      <c r="F321" s="41"/>
      <c r="G321" s="41"/>
      <c r="H321" s="41"/>
      <c r="I321" s="41"/>
      <c r="K321" s="41"/>
      <c r="M321" s="44" t="str">
        <f t="shared" si="4"/>
        <v/>
      </c>
    </row>
    <row r="322" spans="1:13" x14ac:dyDescent="0.3">
      <c r="A322" s="41"/>
      <c r="B322" s="41"/>
      <c r="C322" s="47"/>
      <c r="D322" s="41"/>
      <c r="E322" s="41"/>
      <c r="F322" s="41"/>
      <c r="G322" s="41"/>
      <c r="H322" s="41"/>
      <c r="I322" s="41"/>
      <c r="K322" s="41"/>
      <c r="M322" s="44" t="str">
        <f t="shared" si="4"/>
        <v/>
      </c>
    </row>
    <row r="323" spans="1:13" x14ac:dyDescent="0.3">
      <c r="A323" s="41"/>
      <c r="B323" s="41"/>
      <c r="C323" s="47"/>
      <c r="D323" s="41"/>
      <c r="E323" s="41"/>
      <c r="F323" s="41"/>
      <c r="G323" s="41"/>
      <c r="H323" s="41"/>
      <c r="I323" s="41"/>
      <c r="K323" s="41"/>
      <c r="M323" s="44" t="str">
        <f t="shared" ref="M323:M386" si="5">IF($B$3:$B$1522&lt;&gt;"",$B$3:$B$1522,"")</f>
        <v/>
      </c>
    </row>
    <row r="324" spans="1:13" x14ac:dyDescent="0.3">
      <c r="A324" s="41"/>
      <c r="B324" s="41"/>
      <c r="C324" s="47"/>
      <c r="D324" s="41"/>
      <c r="E324" s="41"/>
      <c r="F324" s="41"/>
      <c r="G324" s="41"/>
      <c r="H324" s="41"/>
      <c r="I324" s="41"/>
      <c r="K324" s="41"/>
      <c r="M324" s="44" t="str">
        <f t="shared" si="5"/>
        <v/>
      </c>
    </row>
    <row r="325" spans="1:13" x14ac:dyDescent="0.3">
      <c r="A325" s="41"/>
      <c r="B325" s="41"/>
      <c r="C325" s="47"/>
      <c r="D325" s="41"/>
      <c r="E325" s="41"/>
      <c r="F325" s="41"/>
      <c r="G325" s="41"/>
      <c r="H325" s="41"/>
      <c r="I325" s="41"/>
      <c r="K325" s="41"/>
      <c r="M325" s="44" t="str">
        <f t="shared" si="5"/>
        <v/>
      </c>
    </row>
    <row r="326" spans="1:13" x14ac:dyDescent="0.3">
      <c r="A326" s="41"/>
      <c r="B326" s="41"/>
      <c r="C326" s="47"/>
      <c r="D326" s="41"/>
      <c r="E326" s="41"/>
      <c r="F326" s="41"/>
      <c r="G326" s="41"/>
      <c r="H326" s="41"/>
      <c r="I326" s="41"/>
      <c r="K326" s="41"/>
      <c r="M326" s="44" t="str">
        <f t="shared" si="5"/>
        <v/>
      </c>
    </row>
    <row r="327" spans="1:13" x14ac:dyDescent="0.3">
      <c r="A327" s="41"/>
      <c r="B327" s="41"/>
      <c r="C327" s="47"/>
      <c r="D327" s="41"/>
      <c r="E327" s="41"/>
      <c r="F327" s="41"/>
      <c r="G327" s="41"/>
      <c r="H327" s="41"/>
      <c r="I327" s="41"/>
      <c r="K327" s="41"/>
      <c r="M327" s="44" t="str">
        <f t="shared" si="5"/>
        <v/>
      </c>
    </row>
    <row r="328" spans="1:13" x14ac:dyDescent="0.3">
      <c r="A328" s="41"/>
      <c r="B328" s="41"/>
      <c r="C328" s="47"/>
      <c r="D328" s="41"/>
      <c r="E328" s="41"/>
      <c r="F328" s="41"/>
      <c r="G328" s="41"/>
      <c r="H328" s="41"/>
      <c r="I328" s="41"/>
      <c r="K328" s="41"/>
      <c r="M328" s="44" t="str">
        <f t="shared" si="5"/>
        <v/>
      </c>
    </row>
    <row r="329" spans="1:13" x14ac:dyDescent="0.3">
      <c r="A329" s="41"/>
      <c r="B329" s="41"/>
      <c r="C329" s="47"/>
      <c r="D329" s="41"/>
      <c r="E329" s="41"/>
      <c r="F329" s="41"/>
      <c r="G329" s="41"/>
      <c r="H329" s="41"/>
      <c r="I329" s="41"/>
      <c r="K329" s="41"/>
      <c r="M329" s="44" t="str">
        <f t="shared" si="5"/>
        <v/>
      </c>
    </row>
    <row r="330" spans="1:13" x14ac:dyDescent="0.3">
      <c r="A330" s="41"/>
      <c r="B330" s="41"/>
      <c r="C330" s="47"/>
      <c r="D330" s="41"/>
      <c r="E330" s="41"/>
      <c r="F330" s="41"/>
      <c r="G330" s="41"/>
      <c r="H330" s="41"/>
      <c r="I330" s="41"/>
      <c r="K330" s="41"/>
      <c r="M330" s="44" t="str">
        <f t="shared" si="5"/>
        <v/>
      </c>
    </row>
    <row r="331" spans="1:13" x14ac:dyDescent="0.3">
      <c r="A331" s="41"/>
      <c r="B331" s="41"/>
      <c r="C331" s="47"/>
      <c r="D331" s="41"/>
      <c r="E331" s="41"/>
      <c r="F331" s="41"/>
      <c r="G331" s="41"/>
      <c r="H331" s="41"/>
      <c r="I331" s="41"/>
      <c r="K331" s="41"/>
      <c r="M331" s="44" t="str">
        <f t="shared" si="5"/>
        <v/>
      </c>
    </row>
    <row r="332" spans="1:13" x14ac:dyDescent="0.3">
      <c r="A332" s="41"/>
      <c r="B332" s="41"/>
      <c r="C332" s="47"/>
      <c r="D332" s="41"/>
      <c r="E332" s="41"/>
      <c r="F332" s="41"/>
      <c r="G332" s="41"/>
      <c r="H332" s="41"/>
      <c r="I332" s="41"/>
      <c r="K332" s="41"/>
      <c r="M332" s="44" t="str">
        <f t="shared" si="5"/>
        <v/>
      </c>
    </row>
    <row r="333" spans="1:13" x14ac:dyDescent="0.3">
      <c r="A333" s="41"/>
      <c r="B333" s="41"/>
      <c r="C333" s="47"/>
      <c r="D333" s="41"/>
      <c r="E333" s="41"/>
      <c r="F333" s="41"/>
      <c r="G333" s="41"/>
      <c r="H333" s="41"/>
      <c r="I333" s="41"/>
      <c r="K333" s="41"/>
      <c r="M333" s="44" t="str">
        <f t="shared" si="5"/>
        <v/>
      </c>
    </row>
    <row r="334" spans="1:13" x14ac:dyDescent="0.3">
      <c r="A334" s="41"/>
      <c r="B334" s="41"/>
      <c r="C334" s="47"/>
      <c r="D334" s="41"/>
      <c r="E334" s="41"/>
      <c r="F334" s="41"/>
      <c r="G334" s="41"/>
      <c r="H334" s="41"/>
      <c r="I334" s="41"/>
      <c r="K334" s="41"/>
      <c r="M334" s="44" t="str">
        <f t="shared" si="5"/>
        <v/>
      </c>
    </row>
    <row r="335" spans="1:13" x14ac:dyDescent="0.3">
      <c r="A335" s="41"/>
      <c r="B335" s="41"/>
      <c r="C335" s="47"/>
      <c r="D335" s="41"/>
      <c r="E335" s="41"/>
      <c r="F335" s="41"/>
      <c r="G335" s="41"/>
      <c r="H335" s="41"/>
      <c r="I335" s="41"/>
      <c r="K335" s="41"/>
      <c r="M335" s="44" t="str">
        <f t="shared" si="5"/>
        <v/>
      </c>
    </row>
    <row r="336" spans="1:13" x14ac:dyDescent="0.3">
      <c r="A336" s="41"/>
      <c r="B336" s="41"/>
      <c r="C336" s="47"/>
      <c r="D336" s="41"/>
      <c r="E336" s="41"/>
      <c r="F336" s="41"/>
      <c r="G336" s="41"/>
      <c r="H336" s="41"/>
      <c r="I336" s="41"/>
      <c r="K336" s="41"/>
      <c r="M336" s="44" t="str">
        <f t="shared" si="5"/>
        <v/>
      </c>
    </row>
    <row r="337" spans="1:13" x14ac:dyDescent="0.3">
      <c r="A337" s="41"/>
      <c r="B337" s="41"/>
      <c r="C337" s="47"/>
      <c r="D337" s="41"/>
      <c r="E337" s="41"/>
      <c r="F337" s="41"/>
      <c r="G337" s="41"/>
      <c r="H337" s="41"/>
      <c r="I337" s="41"/>
      <c r="K337" s="41"/>
      <c r="M337" s="44" t="str">
        <f t="shared" si="5"/>
        <v/>
      </c>
    </row>
    <row r="338" spans="1:13" x14ac:dyDescent="0.3">
      <c r="A338" s="41"/>
      <c r="B338" s="41"/>
      <c r="C338" s="47"/>
      <c r="D338" s="41"/>
      <c r="E338" s="41"/>
      <c r="F338" s="41"/>
      <c r="G338" s="41"/>
      <c r="H338" s="41"/>
      <c r="I338" s="41"/>
      <c r="K338" s="41"/>
      <c r="M338" s="44" t="str">
        <f t="shared" si="5"/>
        <v/>
      </c>
    </row>
    <row r="339" spans="1:13" x14ac:dyDescent="0.3">
      <c r="A339" s="41"/>
      <c r="B339" s="41"/>
      <c r="C339" s="47"/>
      <c r="D339" s="41"/>
      <c r="E339" s="41"/>
      <c r="F339" s="41"/>
      <c r="G339" s="41"/>
      <c r="H339" s="41"/>
      <c r="I339" s="41"/>
      <c r="K339" s="41"/>
      <c r="M339" s="44" t="str">
        <f t="shared" si="5"/>
        <v/>
      </c>
    </row>
    <row r="340" spans="1:13" x14ac:dyDescent="0.3">
      <c r="A340" s="41"/>
      <c r="B340" s="41"/>
      <c r="C340" s="47"/>
      <c r="D340" s="41"/>
      <c r="E340" s="41"/>
      <c r="F340" s="41"/>
      <c r="G340" s="41"/>
      <c r="H340" s="41"/>
      <c r="I340" s="41"/>
      <c r="K340" s="41"/>
      <c r="M340" s="44" t="str">
        <f t="shared" si="5"/>
        <v/>
      </c>
    </row>
    <row r="341" spans="1:13" x14ac:dyDescent="0.3">
      <c r="A341" s="41"/>
      <c r="B341" s="41"/>
      <c r="C341" s="47"/>
      <c r="D341" s="41"/>
      <c r="E341" s="41"/>
      <c r="F341" s="41"/>
      <c r="G341" s="41"/>
      <c r="H341" s="41"/>
      <c r="I341" s="41"/>
      <c r="K341" s="41"/>
      <c r="M341" s="44" t="str">
        <f t="shared" si="5"/>
        <v/>
      </c>
    </row>
    <row r="342" spans="1:13" x14ac:dyDescent="0.3">
      <c r="A342" s="41"/>
      <c r="B342" s="41"/>
      <c r="C342" s="47"/>
      <c r="D342" s="41"/>
      <c r="E342" s="41"/>
      <c r="F342" s="41"/>
      <c r="G342" s="41"/>
      <c r="H342" s="41"/>
      <c r="I342" s="41"/>
      <c r="K342" s="41"/>
      <c r="M342" s="44" t="str">
        <f t="shared" si="5"/>
        <v/>
      </c>
    </row>
    <row r="343" spans="1:13" x14ac:dyDescent="0.3">
      <c r="A343" s="41"/>
      <c r="B343" s="41"/>
      <c r="C343" s="47"/>
      <c r="D343" s="41"/>
      <c r="E343" s="41"/>
      <c r="F343" s="41"/>
      <c r="G343" s="41"/>
      <c r="H343" s="41"/>
      <c r="I343" s="41"/>
      <c r="K343" s="41"/>
      <c r="M343" s="44" t="str">
        <f t="shared" si="5"/>
        <v/>
      </c>
    </row>
    <row r="344" spans="1:13" x14ac:dyDescent="0.3">
      <c r="A344" s="41"/>
      <c r="B344" s="41"/>
      <c r="C344" s="47"/>
      <c r="D344" s="41"/>
      <c r="E344" s="41"/>
      <c r="F344" s="41"/>
      <c r="G344" s="41"/>
      <c r="H344" s="41"/>
      <c r="I344" s="41"/>
      <c r="K344" s="41"/>
      <c r="M344" s="44" t="str">
        <f t="shared" si="5"/>
        <v/>
      </c>
    </row>
    <row r="345" spans="1:13" x14ac:dyDescent="0.3">
      <c r="A345" s="41"/>
      <c r="B345" s="41"/>
      <c r="C345" s="47"/>
      <c r="D345" s="41"/>
      <c r="E345" s="41"/>
      <c r="F345" s="41"/>
      <c r="G345" s="41"/>
      <c r="H345" s="41"/>
      <c r="I345" s="41"/>
      <c r="K345" s="41"/>
      <c r="M345" s="44" t="str">
        <f t="shared" si="5"/>
        <v/>
      </c>
    </row>
    <row r="346" spans="1:13" x14ac:dyDescent="0.3">
      <c r="A346" s="41"/>
      <c r="B346" s="41"/>
      <c r="C346" s="47"/>
      <c r="D346" s="41"/>
      <c r="E346" s="41"/>
      <c r="F346" s="41"/>
      <c r="G346" s="41"/>
      <c r="H346" s="41"/>
      <c r="I346" s="41"/>
      <c r="K346" s="41"/>
      <c r="M346" s="44" t="str">
        <f t="shared" si="5"/>
        <v/>
      </c>
    </row>
    <row r="347" spans="1:13" x14ac:dyDescent="0.3">
      <c r="A347" s="41"/>
      <c r="B347" s="41"/>
      <c r="C347" s="47"/>
      <c r="D347" s="41"/>
      <c r="E347" s="41"/>
      <c r="F347" s="41"/>
      <c r="G347" s="41"/>
      <c r="H347" s="41"/>
      <c r="I347" s="41"/>
      <c r="K347" s="41"/>
      <c r="M347" s="44" t="str">
        <f t="shared" si="5"/>
        <v/>
      </c>
    </row>
    <row r="348" spans="1:13" x14ac:dyDescent="0.3">
      <c r="A348" s="41"/>
      <c r="B348" s="41"/>
      <c r="C348" s="47"/>
      <c r="D348" s="41"/>
      <c r="E348" s="41"/>
      <c r="F348" s="41"/>
      <c r="G348" s="41"/>
      <c r="H348" s="41"/>
      <c r="I348" s="41"/>
      <c r="K348" s="41"/>
      <c r="M348" s="44" t="str">
        <f t="shared" si="5"/>
        <v/>
      </c>
    </row>
    <row r="349" spans="1:13" x14ac:dyDescent="0.3">
      <c r="A349" s="41"/>
      <c r="B349" s="41"/>
      <c r="C349" s="47"/>
      <c r="D349" s="41"/>
      <c r="E349" s="41"/>
      <c r="F349" s="41"/>
      <c r="G349" s="41"/>
      <c r="H349" s="41"/>
      <c r="I349" s="41"/>
      <c r="K349" s="41"/>
      <c r="M349" s="44" t="str">
        <f t="shared" si="5"/>
        <v/>
      </c>
    </row>
    <row r="350" spans="1:13" x14ac:dyDescent="0.3">
      <c r="A350" s="41"/>
      <c r="B350" s="41"/>
      <c r="C350" s="47"/>
      <c r="D350" s="41"/>
      <c r="E350" s="41"/>
      <c r="F350" s="41"/>
      <c r="G350" s="41"/>
      <c r="H350" s="41"/>
      <c r="I350" s="41"/>
      <c r="K350" s="41"/>
      <c r="M350" s="44" t="str">
        <f t="shared" si="5"/>
        <v/>
      </c>
    </row>
    <row r="351" spans="1:13" x14ac:dyDescent="0.3">
      <c r="A351" s="41"/>
      <c r="B351" s="41"/>
      <c r="C351" s="47"/>
      <c r="D351" s="41"/>
      <c r="E351" s="41"/>
      <c r="F351" s="41"/>
      <c r="G351" s="41"/>
      <c r="H351" s="41"/>
      <c r="I351" s="41"/>
      <c r="K351" s="41"/>
      <c r="M351" s="44" t="str">
        <f t="shared" si="5"/>
        <v/>
      </c>
    </row>
    <row r="352" spans="1:13" x14ac:dyDescent="0.3">
      <c r="A352" s="41"/>
      <c r="B352" s="41"/>
      <c r="C352" s="47"/>
      <c r="D352" s="41"/>
      <c r="E352" s="41"/>
      <c r="F352" s="41"/>
      <c r="G352" s="41"/>
      <c r="H352" s="41"/>
      <c r="I352" s="41"/>
      <c r="K352" s="41"/>
      <c r="M352" s="44" t="str">
        <f t="shared" si="5"/>
        <v/>
      </c>
    </row>
    <row r="353" spans="1:13" x14ac:dyDescent="0.3">
      <c r="A353" s="41"/>
      <c r="B353" s="41"/>
      <c r="C353" s="47"/>
      <c r="D353" s="41"/>
      <c r="E353" s="41"/>
      <c r="F353" s="41"/>
      <c r="G353" s="41"/>
      <c r="H353" s="41"/>
      <c r="I353" s="41"/>
      <c r="K353" s="41"/>
      <c r="M353" s="44" t="str">
        <f t="shared" si="5"/>
        <v/>
      </c>
    </row>
    <row r="354" spans="1:13" x14ac:dyDescent="0.3">
      <c r="A354" s="41"/>
      <c r="B354" s="41"/>
      <c r="C354" s="47"/>
      <c r="D354" s="41"/>
      <c r="E354" s="41"/>
      <c r="F354" s="41"/>
      <c r="G354" s="41"/>
      <c r="H354" s="41"/>
      <c r="I354" s="41"/>
      <c r="K354" s="41"/>
      <c r="M354" s="44" t="str">
        <f t="shared" si="5"/>
        <v/>
      </c>
    </row>
    <row r="355" spans="1:13" x14ac:dyDescent="0.3">
      <c r="A355" s="41"/>
      <c r="B355" s="41"/>
      <c r="C355" s="47"/>
      <c r="D355" s="41"/>
      <c r="E355" s="41"/>
      <c r="F355" s="41"/>
      <c r="G355" s="41"/>
      <c r="H355" s="41"/>
      <c r="I355" s="41"/>
      <c r="K355" s="41"/>
      <c r="M355" s="44" t="str">
        <f t="shared" si="5"/>
        <v/>
      </c>
    </row>
    <row r="356" spans="1:13" x14ac:dyDescent="0.3">
      <c r="A356" s="41"/>
      <c r="B356" s="41"/>
      <c r="C356" s="47"/>
      <c r="D356" s="41"/>
      <c r="E356" s="41"/>
      <c r="F356" s="41"/>
      <c r="G356" s="41"/>
      <c r="H356" s="41"/>
      <c r="I356" s="41"/>
      <c r="K356" s="41"/>
      <c r="M356" s="44" t="str">
        <f t="shared" si="5"/>
        <v/>
      </c>
    </row>
    <row r="357" spans="1:13" x14ac:dyDescent="0.3">
      <c r="A357" s="41"/>
      <c r="B357" s="41"/>
      <c r="C357" s="47"/>
      <c r="D357" s="41"/>
      <c r="E357" s="41"/>
      <c r="F357" s="41"/>
      <c r="G357" s="41"/>
      <c r="H357" s="41"/>
      <c r="I357" s="41"/>
      <c r="K357" s="41"/>
      <c r="M357" s="44" t="str">
        <f t="shared" si="5"/>
        <v/>
      </c>
    </row>
    <row r="358" spans="1:13" x14ac:dyDescent="0.3">
      <c r="A358" s="41"/>
      <c r="B358" s="41"/>
      <c r="C358" s="47"/>
      <c r="D358" s="41"/>
      <c r="E358" s="41"/>
      <c r="F358" s="41"/>
      <c r="G358" s="41"/>
      <c r="H358" s="41"/>
      <c r="I358" s="41"/>
      <c r="K358" s="41"/>
      <c r="M358" s="44" t="str">
        <f t="shared" si="5"/>
        <v/>
      </c>
    </row>
    <row r="359" spans="1:13" x14ac:dyDescent="0.3">
      <c r="A359" s="41"/>
      <c r="B359" s="41"/>
      <c r="C359" s="47"/>
      <c r="D359" s="41"/>
      <c r="E359" s="41"/>
      <c r="F359" s="41"/>
      <c r="G359" s="41"/>
      <c r="H359" s="41"/>
      <c r="I359" s="41"/>
      <c r="K359" s="41"/>
      <c r="M359" s="44" t="str">
        <f t="shared" si="5"/>
        <v/>
      </c>
    </row>
    <row r="360" spans="1:13" x14ac:dyDescent="0.3">
      <c r="A360" s="41"/>
      <c r="B360" s="41"/>
      <c r="C360" s="47"/>
      <c r="D360" s="41"/>
      <c r="E360" s="41"/>
      <c r="F360" s="41"/>
      <c r="G360" s="41"/>
      <c r="H360" s="41"/>
      <c r="I360" s="41"/>
      <c r="K360" s="41"/>
      <c r="M360" s="44" t="str">
        <f t="shared" si="5"/>
        <v/>
      </c>
    </row>
    <row r="361" spans="1:13" x14ac:dyDescent="0.3">
      <c r="A361" s="41"/>
      <c r="B361" s="41"/>
      <c r="C361" s="47"/>
      <c r="D361" s="41"/>
      <c r="E361" s="41"/>
      <c r="F361" s="41"/>
      <c r="G361" s="41"/>
      <c r="H361" s="41"/>
      <c r="I361" s="41"/>
      <c r="K361" s="41"/>
      <c r="M361" s="44" t="str">
        <f t="shared" si="5"/>
        <v/>
      </c>
    </row>
    <row r="362" spans="1:13" x14ac:dyDescent="0.3">
      <c r="A362" s="41"/>
      <c r="B362" s="41"/>
      <c r="C362" s="47"/>
      <c r="D362" s="41"/>
      <c r="E362" s="41"/>
      <c r="F362" s="41"/>
      <c r="G362" s="41"/>
      <c r="H362" s="41"/>
      <c r="I362" s="41"/>
      <c r="K362" s="41"/>
      <c r="M362" s="44" t="str">
        <f t="shared" si="5"/>
        <v/>
      </c>
    </row>
    <row r="363" spans="1:13" x14ac:dyDescent="0.3">
      <c r="A363" s="41"/>
      <c r="B363" s="41"/>
      <c r="C363" s="47"/>
      <c r="D363" s="41"/>
      <c r="E363" s="41"/>
      <c r="F363" s="41"/>
      <c r="G363" s="41"/>
      <c r="H363" s="41"/>
      <c r="I363" s="41"/>
      <c r="K363" s="41"/>
      <c r="M363" s="44" t="str">
        <f t="shared" si="5"/>
        <v/>
      </c>
    </row>
    <row r="364" spans="1:13" x14ac:dyDescent="0.3">
      <c r="A364" s="41"/>
      <c r="B364" s="41"/>
      <c r="C364" s="47"/>
      <c r="D364" s="41"/>
      <c r="E364" s="41"/>
      <c r="F364" s="41"/>
      <c r="G364" s="41"/>
      <c r="H364" s="41"/>
      <c r="I364" s="41"/>
      <c r="K364" s="41"/>
      <c r="M364" s="44" t="str">
        <f t="shared" si="5"/>
        <v/>
      </c>
    </row>
    <row r="365" spans="1:13" x14ac:dyDescent="0.3">
      <c r="A365" s="41"/>
      <c r="B365" s="41"/>
      <c r="C365" s="47"/>
      <c r="D365" s="41"/>
      <c r="E365" s="41"/>
      <c r="F365" s="41"/>
      <c r="G365" s="41"/>
      <c r="H365" s="41"/>
      <c r="I365" s="41"/>
      <c r="K365" s="41"/>
      <c r="M365" s="44" t="str">
        <f t="shared" si="5"/>
        <v/>
      </c>
    </row>
    <row r="366" spans="1:13" x14ac:dyDescent="0.3">
      <c r="A366" s="41"/>
      <c r="B366" s="41"/>
      <c r="C366" s="47"/>
      <c r="D366" s="41"/>
      <c r="E366" s="41"/>
      <c r="F366" s="41"/>
      <c r="G366" s="41"/>
      <c r="H366" s="41"/>
      <c r="I366" s="41"/>
      <c r="K366" s="41"/>
      <c r="M366" s="44" t="str">
        <f t="shared" si="5"/>
        <v/>
      </c>
    </row>
    <row r="367" spans="1:13" x14ac:dyDescent="0.3">
      <c r="A367" s="41"/>
      <c r="B367" s="41"/>
      <c r="C367" s="47"/>
      <c r="D367" s="41"/>
      <c r="E367" s="41"/>
      <c r="F367" s="41"/>
      <c r="G367" s="41"/>
      <c r="H367" s="41"/>
      <c r="I367" s="41"/>
      <c r="K367" s="41"/>
      <c r="M367" s="44" t="str">
        <f t="shared" si="5"/>
        <v/>
      </c>
    </row>
    <row r="368" spans="1:13" x14ac:dyDescent="0.3">
      <c r="A368" s="41"/>
      <c r="B368" s="41"/>
      <c r="C368" s="47"/>
      <c r="D368" s="41"/>
      <c r="E368" s="41"/>
      <c r="F368" s="41"/>
      <c r="G368" s="41"/>
      <c r="H368" s="41"/>
      <c r="I368" s="41"/>
      <c r="K368" s="41"/>
      <c r="M368" s="44" t="str">
        <f t="shared" si="5"/>
        <v/>
      </c>
    </row>
    <row r="369" spans="1:13" x14ac:dyDescent="0.3">
      <c r="A369" s="41"/>
      <c r="B369" s="41"/>
      <c r="C369" s="47"/>
      <c r="D369" s="41"/>
      <c r="E369" s="41"/>
      <c r="F369" s="41"/>
      <c r="G369" s="41"/>
      <c r="H369" s="41"/>
      <c r="I369" s="41"/>
      <c r="K369" s="41"/>
      <c r="M369" s="44" t="str">
        <f t="shared" si="5"/>
        <v/>
      </c>
    </row>
    <row r="370" spans="1:13" x14ac:dyDescent="0.3">
      <c r="A370" s="41"/>
      <c r="B370" s="41"/>
      <c r="C370" s="47"/>
      <c r="D370" s="41"/>
      <c r="E370" s="41"/>
      <c r="F370" s="41"/>
      <c r="G370" s="41"/>
      <c r="H370" s="41"/>
      <c r="I370" s="41"/>
      <c r="K370" s="41"/>
      <c r="M370" s="44" t="str">
        <f t="shared" si="5"/>
        <v/>
      </c>
    </row>
    <row r="371" spans="1:13" x14ac:dyDescent="0.3">
      <c r="A371" s="41"/>
      <c r="B371" s="41"/>
      <c r="C371" s="47"/>
      <c r="D371" s="41"/>
      <c r="E371" s="41"/>
      <c r="F371" s="41"/>
      <c r="G371" s="41"/>
      <c r="H371" s="41"/>
      <c r="I371" s="41"/>
      <c r="K371" s="41"/>
      <c r="M371" s="44" t="str">
        <f t="shared" si="5"/>
        <v/>
      </c>
    </row>
    <row r="372" spans="1:13" x14ac:dyDescent="0.3">
      <c r="A372" s="41"/>
      <c r="B372" s="41"/>
      <c r="C372" s="47"/>
      <c r="D372" s="41"/>
      <c r="E372" s="41"/>
      <c r="F372" s="41"/>
      <c r="G372" s="41"/>
      <c r="H372" s="41"/>
      <c r="I372" s="41"/>
      <c r="K372" s="41"/>
      <c r="M372" s="44" t="str">
        <f t="shared" si="5"/>
        <v/>
      </c>
    </row>
    <row r="373" spans="1:13" x14ac:dyDescent="0.3">
      <c r="A373" s="41"/>
      <c r="B373" s="41"/>
      <c r="C373" s="47"/>
      <c r="D373" s="41"/>
      <c r="E373" s="41"/>
      <c r="F373" s="41"/>
      <c r="G373" s="41"/>
      <c r="H373" s="41"/>
      <c r="I373" s="41"/>
      <c r="K373" s="41"/>
      <c r="M373" s="44" t="str">
        <f t="shared" si="5"/>
        <v/>
      </c>
    </row>
    <row r="374" spans="1:13" x14ac:dyDescent="0.3">
      <c r="A374" s="41"/>
      <c r="B374" s="41"/>
      <c r="C374" s="47"/>
      <c r="D374" s="41"/>
      <c r="E374" s="41"/>
      <c r="F374" s="41"/>
      <c r="G374" s="41"/>
      <c r="H374" s="41"/>
      <c r="I374" s="41"/>
      <c r="K374" s="41"/>
      <c r="M374" s="44" t="str">
        <f t="shared" si="5"/>
        <v/>
      </c>
    </row>
    <row r="375" spans="1:13" x14ac:dyDescent="0.3">
      <c r="A375" s="41"/>
      <c r="B375" s="41"/>
      <c r="C375" s="47"/>
      <c r="D375" s="41"/>
      <c r="E375" s="41"/>
      <c r="F375" s="41"/>
      <c r="G375" s="41"/>
      <c r="H375" s="41"/>
      <c r="I375" s="41"/>
      <c r="K375" s="41"/>
      <c r="M375" s="44" t="str">
        <f t="shared" si="5"/>
        <v/>
      </c>
    </row>
    <row r="376" spans="1:13" x14ac:dyDescent="0.3">
      <c r="A376" s="41"/>
      <c r="B376" s="41"/>
      <c r="C376" s="47"/>
      <c r="D376" s="41"/>
      <c r="E376" s="41"/>
      <c r="F376" s="41"/>
      <c r="G376" s="41"/>
      <c r="H376" s="41"/>
      <c r="I376" s="41"/>
      <c r="K376" s="41"/>
      <c r="M376" s="44" t="str">
        <f t="shared" si="5"/>
        <v/>
      </c>
    </row>
    <row r="377" spans="1:13" x14ac:dyDescent="0.3">
      <c r="A377" s="41"/>
      <c r="B377" s="41"/>
      <c r="C377" s="47"/>
      <c r="D377" s="41"/>
      <c r="E377" s="41"/>
      <c r="F377" s="41"/>
      <c r="G377" s="41"/>
      <c r="H377" s="41"/>
      <c r="I377" s="41"/>
      <c r="K377" s="41"/>
      <c r="M377" s="44" t="str">
        <f t="shared" si="5"/>
        <v/>
      </c>
    </row>
    <row r="378" spans="1:13" x14ac:dyDescent="0.3">
      <c r="A378" s="41"/>
      <c r="B378" s="41"/>
      <c r="C378" s="47"/>
      <c r="D378" s="41"/>
      <c r="E378" s="41"/>
      <c r="F378" s="41"/>
      <c r="G378" s="41"/>
      <c r="H378" s="41"/>
      <c r="I378" s="41"/>
      <c r="K378" s="41"/>
      <c r="M378" s="44" t="str">
        <f t="shared" si="5"/>
        <v/>
      </c>
    </row>
    <row r="379" spans="1:13" x14ac:dyDescent="0.3">
      <c r="A379" s="41"/>
      <c r="B379" s="41"/>
      <c r="C379" s="47"/>
      <c r="D379" s="41"/>
      <c r="E379" s="41"/>
      <c r="F379" s="41"/>
      <c r="G379" s="41"/>
      <c r="H379" s="41"/>
      <c r="I379" s="41"/>
      <c r="K379" s="41"/>
      <c r="M379" s="44" t="str">
        <f t="shared" si="5"/>
        <v/>
      </c>
    </row>
    <row r="380" spans="1:13" x14ac:dyDescent="0.3">
      <c r="A380" s="41"/>
      <c r="B380" s="41"/>
      <c r="C380" s="47"/>
      <c r="D380" s="41"/>
      <c r="E380" s="41"/>
      <c r="F380" s="41"/>
      <c r="G380" s="41"/>
      <c r="H380" s="41"/>
      <c r="I380" s="41"/>
      <c r="K380" s="41"/>
      <c r="M380" s="44" t="str">
        <f t="shared" si="5"/>
        <v/>
      </c>
    </row>
    <row r="381" spans="1:13" x14ac:dyDescent="0.3">
      <c r="A381" s="41"/>
      <c r="B381" s="41"/>
      <c r="C381" s="47"/>
      <c r="D381" s="41"/>
      <c r="E381" s="41"/>
      <c r="F381" s="41"/>
      <c r="G381" s="41"/>
      <c r="H381" s="41"/>
      <c r="I381" s="41"/>
      <c r="K381" s="41"/>
      <c r="M381" s="44" t="str">
        <f t="shared" si="5"/>
        <v/>
      </c>
    </row>
    <row r="382" spans="1:13" x14ac:dyDescent="0.3">
      <c r="A382" s="41"/>
      <c r="B382" s="41"/>
      <c r="C382" s="47"/>
      <c r="D382" s="41"/>
      <c r="E382" s="41"/>
      <c r="F382" s="41"/>
      <c r="G382" s="41"/>
      <c r="H382" s="41"/>
      <c r="I382" s="41"/>
      <c r="K382" s="41"/>
      <c r="M382" s="44" t="str">
        <f t="shared" si="5"/>
        <v/>
      </c>
    </row>
    <row r="383" spans="1:13" x14ac:dyDescent="0.3">
      <c r="A383" s="41"/>
      <c r="B383" s="41"/>
      <c r="C383" s="47"/>
      <c r="D383" s="41"/>
      <c r="E383" s="41"/>
      <c r="F383" s="41"/>
      <c r="G383" s="41"/>
      <c r="H383" s="41"/>
      <c r="I383" s="41"/>
      <c r="K383" s="41"/>
      <c r="M383" s="44" t="str">
        <f t="shared" si="5"/>
        <v/>
      </c>
    </row>
    <row r="384" spans="1:13" x14ac:dyDescent="0.3">
      <c r="A384" s="41"/>
      <c r="B384" s="41"/>
      <c r="C384" s="47"/>
      <c r="D384" s="41"/>
      <c r="E384" s="41"/>
      <c r="F384" s="41"/>
      <c r="G384" s="41"/>
      <c r="H384" s="41"/>
      <c r="I384" s="41"/>
      <c r="K384" s="41"/>
      <c r="M384" s="44" t="str">
        <f t="shared" si="5"/>
        <v/>
      </c>
    </row>
    <row r="385" spans="1:13" x14ac:dyDescent="0.3">
      <c r="A385" s="41"/>
      <c r="B385" s="41"/>
      <c r="C385" s="47"/>
      <c r="D385" s="41"/>
      <c r="E385" s="41"/>
      <c r="F385" s="41"/>
      <c r="G385" s="41"/>
      <c r="H385" s="41"/>
      <c r="I385" s="41"/>
      <c r="K385" s="41"/>
      <c r="M385" s="44" t="str">
        <f t="shared" si="5"/>
        <v/>
      </c>
    </row>
    <row r="386" spans="1:13" x14ac:dyDescent="0.3">
      <c r="A386" s="41"/>
      <c r="B386" s="41"/>
      <c r="C386" s="47"/>
      <c r="D386" s="41"/>
      <c r="E386" s="41"/>
      <c r="F386" s="41"/>
      <c r="G386" s="41"/>
      <c r="H386" s="41"/>
      <c r="I386" s="41"/>
      <c r="K386" s="41"/>
      <c r="M386" s="44" t="str">
        <f t="shared" si="5"/>
        <v/>
      </c>
    </row>
    <row r="387" spans="1:13" x14ac:dyDescent="0.3">
      <c r="A387" s="41"/>
      <c r="B387" s="41"/>
      <c r="C387" s="47"/>
      <c r="D387" s="41"/>
      <c r="E387" s="41"/>
      <c r="F387" s="41"/>
      <c r="G387" s="41"/>
      <c r="H387" s="41"/>
      <c r="I387" s="41"/>
      <c r="K387" s="41"/>
      <c r="M387" s="44" t="str">
        <f t="shared" ref="M387:M432" si="6">IF($B$3:$B$1522&lt;&gt;"",$B$3:$B$1522,"")</f>
        <v/>
      </c>
    </row>
    <row r="388" spans="1:13" x14ac:dyDescent="0.3">
      <c r="A388" s="41"/>
      <c r="B388" s="41"/>
      <c r="C388" s="47"/>
      <c r="D388" s="41"/>
      <c r="E388" s="41"/>
      <c r="F388" s="41"/>
      <c r="G388" s="41"/>
      <c r="H388" s="41"/>
      <c r="I388" s="41"/>
      <c r="K388" s="41"/>
      <c r="M388" s="44" t="str">
        <f t="shared" si="6"/>
        <v/>
      </c>
    </row>
    <row r="389" spans="1:13" x14ac:dyDescent="0.3">
      <c r="A389" s="41"/>
      <c r="B389" s="41"/>
      <c r="C389" s="47"/>
      <c r="D389" s="41"/>
      <c r="E389" s="41"/>
      <c r="F389" s="41"/>
      <c r="G389" s="41"/>
      <c r="H389" s="41"/>
      <c r="I389" s="41"/>
      <c r="K389" s="41"/>
      <c r="M389" s="44" t="str">
        <f t="shared" si="6"/>
        <v/>
      </c>
    </row>
    <row r="390" spans="1:13" x14ac:dyDescent="0.3">
      <c r="A390" s="41"/>
      <c r="B390" s="41"/>
      <c r="C390" s="47"/>
      <c r="D390" s="41"/>
      <c r="E390" s="41"/>
      <c r="F390" s="41"/>
      <c r="G390" s="41"/>
      <c r="H390" s="41"/>
      <c r="I390" s="41"/>
      <c r="K390" s="41"/>
      <c r="M390" s="44" t="str">
        <f t="shared" si="6"/>
        <v/>
      </c>
    </row>
    <row r="391" spans="1:13" x14ac:dyDescent="0.3">
      <c r="A391" s="41"/>
      <c r="B391" s="41"/>
      <c r="C391" s="47"/>
      <c r="D391" s="41"/>
      <c r="E391" s="41"/>
      <c r="F391" s="41"/>
      <c r="G391" s="41"/>
      <c r="H391" s="41"/>
      <c r="I391" s="41"/>
      <c r="K391" s="41"/>
      <c r="M391" s="44" t="str">
        <f t="shared" si="6"/>
        <v/>
      </c>
    </row>
    <row r="392" spans="1:13" x14ac:dyDescent="0.3">
      <c r="A392" s="41"/>
      <c r="B392" s="41"/>
      <c r="C392" s="47"/>
      <c r="D392" s="41"/>
      <c r="E392" s="41"/>
      <c r="F392" s="41"/>
      <c r="G392" s="41"/>
      <c r="H392" s="41"/>
      <c r="I392" s="41"/>
      <c r="K392" s="41"/>
      <c r="M392" s="44" t="str">
        <f t="shared" si="6"/>
        <v/>
      </c>
    </row>
    <row r="393" spans="1:13" x14ac:dyDescent="0.3">
      <c r="A393" s="41"/>
      <c r="B393" s="41"/>
      <c r="C393" s="47"/>
      <c r="D393" s="41"/>
      <c r="E393" s="41"/>
      <c r="F393" s="41"/>
      <c r="G393" s="41"/>
      <c r="H393" s="41"/>
      <c r="I393" s="41"/>
      <c r="K393" s="41"/>
      <c r="M393" s="44" t="str">
        <f t="shared" si="6"/>
        <v/>
      </c>
    </row>
    <row r="394" spans="1:13" x14ac:dyDescent="0.3">
      <c r="A394" s="41"/>
      <c r="B394" s="41"/>
      <c r="C394" s="47"/>
      <c r="D394" s="41"/>
      <c r="E394" s="41"/>
      <c r="F394" s="41"/>
      <c r="G394" s="41"/>
      <c r="H394" s="41"/>
      <c r="I394" s="41"/>
      <c r="K394" s="41"/>
      <c r="M394" s="44" t="str">
        <f t="shared" si="6"/>
        <v/>
      </c>
    </row>
    <row r="395" spans="1:13" x14ac:dyDescent="0.3">
      <c r="A395" s="41"/>
      <c r="B395" s="41"/>
      <c r="C395" s="47"/>
      <c r="D395" s="41"/>
      <c r="E395" s="41"/>
      <c r="F395" s="41"/>
      <c r="G395" s="41"/>
      <c r="H395" s="41"/>
      <c r="I395" s="41"/>
      <c r="K395" s="41"/>
      <c r="M395" s="44" t="str">
        <f t="shared" si="6"/>
        <v/>
      </c>
    </row>
    <row r="396" spans="1:13" x14ac:dyDescent="0.3">
      <c r="A396" s="41"/>
      <c r="B396" s="41"/>
      <c r="C396" s="47"/>
      <c r="D396" s="41"/>
      <c r="E396" s="41"/>
      <c r="F396" s="41"/>
      <c r="G396" s="41"/>
      <c r="H396" s="41"/>
      <c r="I396" s="41"/>
      <c r="K396" s="41"/>
      <c r="M396" s="44" t="str">
        <f t="shared" si="6"/>
        <v/>
      </c>
    </row>
    <row r="397" spans="1:13" x14ac:dyDescent="0.3">
      <c r="A397" s="41"/>
      <c r="B397" s="41"/>
      <c r="C397" s="47"/>
      <c r="D397" s="41"/>
      <c r="E397" s="41"/>
      <c r="F397" s="41"/>
      <c r="G397" s="41"/>
      <c r="H397" s="41"/>
      <c r="I397" s="41"/>
      <c r="K397" s="41"/>
      <c r="M397" s="44" t="str">
        <f t="shared" si="6"/>
        <v/>
      </c>
    </row>
    <row r="398" spans="1:13" x14ac:dyDescent="0.3">
      <c r="A398" s="41"/>
      <c r="B398" s="41"/>
      <c r="C398" s="47"/>
      <c r="D398" s="41"/>
      <c r="E398" s="41"/>
      <c r="F398" s="41"/>
      <c r="G398" s="41"/>
      <c r="H398" s="41"/>
      <c r="I398" s="41"/>
      <c r="K398" s="41"/>
      <c r="M398" s="44" t="str">
        <f t="shared" si="6"/>
        <v/>
      </c>
    </row>
    <row r="399" spans="1:13" x14ac:dyDescent="0.3">
      <c r="A399" s="41"/>
      <c r="B399" s="41"/>
      <c r="C399" s="47"/>
      <c r="D399" s="41"/>
      <c r="E399" s="41"/>
      <c r="F399" s="41"/>
      <c r="G399" s="41"/>
      <c r="H399" s="41"/>
      <c r="I399" s="41"/>
      <c r="K399" s="41"/>
      <c r="M399" s="44" t="str">
        <f t="shared" si="6"/>
        <v/>
      </c>
    </row>
    <row r="400" spans="1:13" x14ac:dyDescent="0.3">
      <c r="A400" s="41"/>
      <c r="B400" s="41"/>
      <c r="C400" s="47"/>
      <c r="D400" s="41"/>
      <c r="E400" s="41"/>
      <c r="F400" s="41"/>
      <c r="G400" s="41"/>
      <c r="H400" s="41"/>
      <c r="I400" s="41"/>
      <c r="K400" s="41"/>
      <c r="M400" s="44" t="str">
        <f t="shared" si="6"/>
        <v/>
      </c>
    </row>
    <row r="401" spans="13:13" x14ac:dyDescent="0.3">
      <c r="M401" s="50" t="str">
        <f t="shared" si="6"/>
        <v/>
      </c>
    </row>
    <row r="402" spans="13:13" x14ac:dyDescent="0.3">
      <c r="M402" s="50" t="str">
        <f t="shared" si="6"/>
        <v/>
      </c>
    </row>
    <row r="403" spans="13:13" x14ac:dyDescent="0.3">
      <c r="M403" s="50" t="str">
        <f t="shared" si="6"/>
        <v/>
      </c>
    </row>
    <row r="404" spans="13:13" x14ac:dyDescent="0.3">
      <c r="M404" s="50" t="str">
        <f t="shared" si="6"/>
        <v/>
      </c>
    </row>
    <row r="405" spans="13:13" x14ac:dyDescent="0.3">
      <c r="M405" s="50" t="str">
        <f t="shared" si="6"/>
        <v/>
      </c>
    </row>
    <row r="406" spans="13:13" x14ac:dyDescent="0.3">
      <c r="M406" s="50" t="str">
        <f t="shared" si="6"/>
        <v/>
      </c>
    </row>
    <row r="407" spans="13:13" x14ac:dyDescent="0.3">
      <c r="M407" s="50" t="str">
        <f t="shared" si="6"/>
        <v/>
      </c>
    </row>
    <row r="408" spans="13:13" x14ac:dyDescent="0.3">
      <c r="M408" s="50" t="str">
        <f t="shared" si="6"/>
        <v/>
      </c>
    </row>
    <row r="409" spans="13:13" x14ac:dyDescent="0.3">
      <c r="M409" s="50" t="str">
        <f t="shared" si="6"/>
        <v/>
      </c>
    </row>
    <row r="410" spans="13:13" x14ac:dyDescent="0.3">
      <c r="M410" s="50" t="str">
        <f t="shared" si="6"/>
        <v/>
      </c>
    </row>
    <row r="411" spans="13:13" x14ac:dyDescent="0.3">
      <c r="M411" s="50" t="str">
        <f t="shared" si="6"/>
        <v/>
      </c>
    </row>
    <row r="412" spans="13:13" x14ac:dyDescent="0.3">
      <c r="M412" s="50" t="str">
        <f t="shared" si="6"/>
        <v/>
      </c>
    </row>
    <row r="413" spans="13:13" x14ac:dyDescent="0.3">
      <c r="M413" s="50" t="str">
        <f t="shared" si="6"/>
        <v/>
      </c>
    </row>
    <row r="414" spans="13:13" x14ac:dyDescent="0.3">
      <c r="M414" s="50" t="str">
        <f t="shared" si="6"/>
        <v/>
      </c>
    </row>
    <row r="415" spans="13:13" x14ac:dyDescent="0.3">
      <c r="M415" s="50" t="str">
        <f t="shared" si="6"/>
        <v/>
      </c>
    </row>
    <row r="416" spans="13:13" x14ac:dyDescent="0.3">
      <c r="M416" s="50" t="str">
        <f t="shared" si="6"/>
        <v/>
      </c>
    </row>
    <row r="417" spans="13:13" x14ac:dyDescent="0.3">
      <c r="M417" s="50" t="str">
        <f t="shared" si="6"/>
        <v/>
      </c>
    </row>
    <row r="418" spans="13:13" x14ac:dyDescent="0.3">
      <c r="M418" s="50" t="str">
        <f t="shared" si="6"/>
        <v/>
      </c>
    </row>
    <row r="419" spans="13:13" x14ac:dyDescent="0.3">
      <c r="M419" s="50" t="str">
        <f t="shared" si="6"/>
        <v/>
      </c>
    </row>
    <row r="420" spans="13:13" x14ac:dyDescent="0.3">
      <c r="M420" s="50" t="str">
        <f t="shared" si="6"/>
        <v/>
      </c>
    </row>
    <row r="421" spans="13:13" x14ac:dyDescent="0.3">
      <c r="M421" s="50" t="str">
        <f t="shared" si="6"/>
        <v/>
      </c>
    </row>
    <row r="422" spans="13:13" x14ac:dyDescent="0.3">
      <c r="M422" s="50" t="str">
        <f t="shared" si="6"/>
        <v/>
      </c>
    </row>
    <row r="423" spans="13:13" x14ac:dyDescent="0.3">
      <c r="M423" s="50" t="str">
        <f t="shared" si="6"/>
        <v/>
      </c>
    </row>
    <row r="424" spans="13:13" x14ac:dyDescent="0.3">
      <c r="M424" s="50" t="str">
        <f t="shared" si="6"/>
        <v/>
      </c>
    </row>
    <row r="425" spans="13:13" x14ac:dyDescent="0.3">
      <c r="M425" s="50" t="str">
        <f t="shared" si="6"/>
        <v/>
      </c>
    </row>
    <row r="426" spans="13:13" x14ac:dyDescent="0.3">
      <c r="M426" s="50" t="str">
        <f t="shared" si="6"/>
        <v/>
      </c>
    </row>
    <row r="427" spans="13:13" x14ac:dyDescent="0.3">
      <c r="M427" s="50" t="str">
        <f t="shared" si="6"/>
        <v/>
      </c>
    </row>
    <row r="428" spans="13:13" x14ac:dyDescent="0.3">
      <c r="M428" s="50" t="str">
        <f t="shared" si="6"/>
        <v/>
      </c>
    </row>
    <row r="429" spans="13:13" x14ac:dyDescent="0.3">
      <c r="M429" s="50" t="str">
        <f t="shared" si="6"/>
        <v/>
      </c>
    </row>
    <row r="430" spans="13:13" x14ac:dyDescent="0.3">
      <c r="M430" s="50" t="str">
        <f t="shared" si="6"/>
        <v/>
      </c>
    </row>
    <row r="431" spans="13:13" x14ac:dyDescent="0.3">
      <c r="M431" s="50" t="str">
        <f t="shared" si="6"/>
        <v/>
      </c>
    </row>
    <row r="432" spans="13:13" x14ac:dyDescent="0.3">
      <c r="M432" s="50" t="str">
        <f t="shared" si="6"/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432"/>
  <sheetViews>
    <sheetView workbookViewId="0">
      <selection activeCell="G4" sqref="G4"/>
    </sheetView>
  </sheetViews>
  <sheetFormatPr defaultRowHeight="14.4" x14ac:dyDescent="0.3"/>
  <cols>
    <col min="1" max="1" width="10" customWidth="1"/>
    <col min="2" max="2" width="59.6640625" style="48" bestFit="1" customWidth="1"/>
    <col min="3" max="3" width="57.44140625" style="50" bestFit="1" customWidth="1"/>
  </cols>
  <sheetData>
    <row r="1" spans="1:7" x14ac:dyDescent="0.3">
      <c r="B1" s="53" t="s">
        <v>203</v>
      </c>
    </row>
    <row r="2" spans="1:7" x14ac:dyDescent="0.3">
      <c r="A2" s="55" t="s">
        <v>5</v>
      </c>
      <c r="B2" s="55" t="s">
        <v>11</v>
      </c>
      <c r="C2" s="55" t="s">
        <v>38</v>
      </c>
      <c r="F2" s="11"/>
      <c r="G2" s="56"/>
    </row>
    <row r="3" spans="1:7" x14ac:dyDescent="0.3">
      <c r="A3" s="42">
        <v>1001</v>
      </c>
      <c r="B3" s="46" t="s">
        <v>12</v>
      </c>
      <c r="C3" s="44" t="str">
        <f t="shared" ref="C3:C66" si="0">IF($B$3:$B$1522&lt;&gt;"",$B$3:$B$1522,"")</f>
        <v xml:space="preserve">Bed </v>
      </c>
    </row>
    <row r="4" spans="1:7" x14ac:dyDescent="0.3">
      <c r="A4" s="42">
        <v>1002</v>
      </c>
      <c r="B4" s="46" t="s">
        <v>45</v>
      </c>
      <c r="C4" s="44" t="str">
        <f t="shared" si="0"/>
        <v>Mattress</v>
      </c>
      <c r="F4">
        <v>1190</v>
      </c>
      <c r="G4">
        <f>F4+1</f>
        <v>1191</v>
      </c>
    </row>
    <row r="5" spans="1:7" x14ac:dyDescent="0.3">
      <c r="A5" s="42">
        <v>1003</v>
      </c>
      <c r="B5" s="46" t="s">
        <v>46</v>
      </c>
      <c r="C5" s="44" t="str">
        <f t="shared" si="0"/>
        <v>Table with two drawers (Size L3'xW 2')</v>
      </c>
    </row>
    <row r="6" spans="1:7" x14ac:dyDescent="0.3">
      <c r="A6" s="42">
        <v>1004</v>
      </c>
      <c r="B6" s="46" t="s">
        <v>47</v>
      </c>
      <c r="C6" s="44" t="str">
        <f t="shared" si="0"/>
        <v>4 drawer wardrobe (Size L5'xH4'xD2')</v>
      </c>
    </row>
    <row r="7" spans="1:7" x14ac:dyDescent="0.3">
      <c r="A7" s="42">
        <v>1005</v>
      </c>
      <c r="B7" s="46" t="s">
        <v>48</v>
      </c>
      <c r="C7" s="44" t="str">
        <f t="shared" si="0"/>
        <v>Executive table type-01 (Size-9'x4')</v>
      </c>
    </row>
    <row r="8" spans="1:7" x14ac:dyDescent="0.3">
      <c r="A8" s="42">
        <v>1006</v>
      </c>
      <c r="B8" s="46" t="s">
        <v>49</v>
      </c>
      <c r="C8" s="44" t="str">
        <f t="shared" si="0"/>
        <v>Executive table type-02 (Size-7'x4')</v>
      </c>
    </row>
    <row r="9" spans="1:7" x14ac:dyDescent="0.3">
      <c r="A9" s="42">
        <v>1007</v>
      </c>
      <c r="B9" s="46" t="s">
        <v>50</v>
      </c>
      <c r="C9" s="44" t="str">
        <f t="shared" si="0"/>
        <v>Table (Size-5'x3')</v>
      </c>
    </row>
    <row r="10" spans="1:7" x14ac:dyDescent="0.3">
      <c r="A10" s="42">
        <v>1008</v>
      </c>
      <c r="B10" s="46" t="s">
        <v>51</v>
      </c>
      <c r="C10" s="44" t="str">
        <f t="shared" si="0"/>
        <v>Discussion table (Size-12'x4')</v>
      </c>
    </row>
    <row r="11" spans="1:7" x14ac:dyDescent="0.3">
      <c r="A11" s="42">
        <v>1009</v>
      </c>
      <c r="B11" s="46" t="s">
        <v>52</v>
      </c>
      <c r="C11" s="44" t="str">
        <f t="shared" si="0"/>
        <v>Laminated board table for appliances (Size-L3.5'xH2.5'xD2.5')</v>
      </c>
    </row>
    <row r="12" spans="1:7" x14ac:dyDescent="0.3">
      <c r="A12" s="42">
        <v>1010</v>
      </c>
      <c r="B12" s="46" t="s">
        <v>53</v>
      </c>
      <c r="C12" s="44" t="str">
        <f t="shared" si="0"/>
        <v>Laminated board file cabinet with glass door (Size-L5'xH7'xD2')</v>
      </c>
    </row>
    <row r="13" spans="1:7" x14ac:dyDescent="0.3">
      <c r="A13" s="42">
        <v>1011</v>
      </c>
      <c r="B13" s="46" t="s">
        <v>54</v>
      </c>
      <c r="C13" s="44" t="str">
        <f t="shared" si="0"/>
        <v>Low height cabinet (Size-L8xW2xH2.5)</v>
      </c>
    </row>
    <row r="14" spans="1:7" x14ac:dyDescent="0.3">
      <c r="A14" s="42">
        <v>1012</v>
      </c>
      <c r="B14" s="46" t="s">
        <v>55</v>
      </c>
      <c r="C14" s="44" t="str">
        <f t="shared" si="0"/>
        <v>Office chair with handle</v>
      </c>
    </row>
    <row r="15" spans="1:7" x14ac:dyDescent="0.3">
      <c r="A15" s="42">
        <v>1013</v>
      </c>
      <c r="B15" s="46" t="s">
        <v>56</v>
      </c>
      <c r="C15" s="44" t="str">
        <f t="shared" si="0"/>
        <v>Steel chair without handle</v>
      </c>
    </row>
    <row r="16" spans="1:7" x14ac:dyDescent="0.3">
      <c r="A16" s="42">
        <v>1014</v>
      </c>
      <c r="B16" s="46" t="s">
        <v>57</v>
      </c>
      <c r="C16" s="44" t="str">
        <f t="shared" si="0"/>
        <v>Dining table (Size-10'x3')</v>
      </c>
    </row>
    <row r="17" spans="1:3" x14ac:dyDescent="0.3">
      <c r="A17" s="42">
        <v>1015</v>
      </c>
      <c r="B17" s="46" t="s">
        <v>58</v>
      </c>
      <c r="C17" s="44" t="str">
        <f t="shared" si="0"/>
        <v xml:space="preserve">Single sofa </v>
      </c>
    </row>
    <row r="18" spans="1:3" x14ac:dyDescent="0.3">
      <c r="A18" s="42">
        <v>1016</v>
      </c>
      <c r="B18" s="46" t="s">
        <v>59</v>
      </c>
      <c r="C18" s="44" t="str">
        <f t="shared" si="0"/>
        <v>Table for iron (8'x4')</v>
      </c>
    </row>
    <row r="19" spans="1:3" x14ac:dyDescent="0.3">
      <c r="A19" s="42">
        <v>1017</v>
      </c>
      <c r="B19" s="46" t="s">
        <v>60</v>
      </c>
      <c r="C19" s="44" t="str">
        <f t="shared" si="0"/>
        <v>Cloth cabinet (Size-6'x6') for landury</v>
      </c>
    </row>
    <row r="20" spans="1:3" x14ac:dyDescent="0.3">
      <c r="A20" s="42">
        <v>1018</v>
      </c>
      <c r="B20" s="46" t="s">
        <v>61</v>
      </c>
      <c r="C20" s="44" t="str">
        <f t="shared" si="0"/>
        <v xml:space="preserve">Table for sample collection &amp; ART field test (Size-3'x2.5') </v>
      </c>
    </row>
    <row r="21" spans="1:3" x14ac:dyDescent="0.3">
      <c r="A21" s="42">
        <v>1019</v>
      </c>
      <c r="B21" s="46" t="s">
        <v>62</v>
      </c>
      <c r="C21" s="44" t="str">
        <f t="shared" si="0"/>
        <v>Food Table (Size-1.5'x1.5')</v>
      </c>
    </row>
    <row r="22" spans="1:3" x14ac:dyDescent="0.3">
      <c r="A22" s="42">
        <v>1020</v>
      </c>
      <c r="B22" s="46" t="s">
        <v>63</v>
      </c>
      <c r="C22" s="44" t="str">
        <f t="shared" si="0"/>
        <v>Dress cabinet for donning (Size H6'xW10'xD1.5')</v>
      </c>
    </row>
    <row r="23" spans="1:3" x14ac:dyDescent="0.3">
      <c r="A23" s="42">
        <v>1021</v>
      </c>
      <c r="B23" s="46" t="s">
        <v>64</v>
      </c>
      <c r="C23" s="44" t="str">
        <f t="shared" si="0"/>
        <v>Plastic chair with handle</v>
      </c>
    </row>
    <row r="24" spans="1:3" x14ac:dyDescent="0.3">
      <c r="A24" s="42">
        <v>1022</v>
      </c>
      <c r="B24" s="46" t="s">
        <v>65</v>
      </c>
      <c r="C24" s="44" t="str">
        <f t="shared" si="0"/>
        <v>Garments hanger rack (Type-1)</v>
      </c>
    </row>
    <row r="25" spans="1:3" x14ac:dyDescent="0.3">
      <c r="A25" s="42">
        <v>1023</v>
      </c>
      <c r="B25" s="46" t="s">
        <v>66</v>
      </c>
      <c r="C25" s="44" t="str">
        <f t="shared" si="0"/>
        <v>Garments hanger rack (Type-2)</v>
      </c>
    </row>
    <row r="26" spans="1:3" x14ac:dyDescent="0.3">
      <c r="A26" s="42">
        <v>1024</v>
      </c>
      <c r="B26" s="46" t="s">
        <v>13</v>
      </c>
      <c r="C26" s="44" t="str">
        <f t="shared" si="0"/>
        <v>Bed sheet (Used)</v>
      </c>
    </row>
    <row r="27" spans="1:3" x14ac:dyDescent="0.3">
      <c r="A27" s="42">
        <v>1025</v>
      </c>
      <c r="B27" s="46" t="s">
        <v>14</v>
      </c>
      <c r="C27" s="44" t="str">
        <f t="shared" si="0"/>
        <v>Bed sheet (New)</v>
      </c>
    </row>
    <row r="28" spans="1:3" x14ac:dyDescent="0.3">
      <c r="A28" s="42">
        <v>1026</v>
      </c>
      <c r="B28" s="46" t="s">
        <v>67</v>
      </c>
      <c r="C28" s="44" t="str">
        <f t="shared" si="0"/>
        <v>Pillow</v>
      </c>
    </row>
    <row r="29" spans="1:3" x14ac:dyDescent="0.3">
      <c r="A29" s="42">
        <v>1027</v>
      </c>
      <c r="B29" s="46" t="s">
        <v>68</v>
      </c>
      <c r="C29" s="44" t="str">
        <f t="shared" si="0"/>
        <v>Pillow cover (Used)</v>
      </c>
    </row>
    <row r="30" spans="1:3" x14ac:dyDescent="0.3">
      <c r="A30" s="42">
        <v>1028</v>
      </c>
      <c r="B30" s="46" t="s">
        <v>69</v>
      </c>
      <c r="C30" s="44" t="str">
        <f t="shared" si="0"/>
        <v>Pillow cover (New)</v>
      </c>
    </row>
    <row r="31" spans="1:3" x14ac:dyDescent="0.3">
      <c r="A31" s="42">
        <v>1029</v>
      </c>
      <c r="B31" s="46" t="s">
        <v>70</v>
      </c>
      <c r="C31" s="44" t="str">
        <f t="shared" si="0"/>
        <v>Mosquito net</v>
      </c>
    </row>
    <row r="32" spans="1:3" x14ac:dyDescent="0.3">
      <c r="A32" s="42">
        <v>1030</v>
      </c>
      <c r="B32" s="46" t="s">
        <v>71</v>
      </c>
      <c r="C32" s="44" t="str">
        <f t="shared" si="0"/>
        <v>Window curtain-1</v>
      </c>
    </row>
    <row r="33" spans="1:3" x14ac:dyDescent="0.3">
      <c r="A33" s="42">
        <v>1031</v>
      </c>
      <c r="B33" s="46" t="s">
        <v>72</v>
      </c>
      <c r="C33" s="44" t="str">
        <f t="shared" si="0"/>
        <v>Window curtain-2</v>
      </c>
    </row>
    <row r="34" spans="1:3" x14ac:dyDescent="0.3">
      <c r="A34" s="42">
        <v>1032</v>
      </c>
      <c r="B34" s="46" t="s">
        <v>73</v>
      </c>
      <c r="C34" s="44" t="str">
        <f t="shared" si="0"/>
        <v>Vertical blinds ((Each Size-9'x7')</v>
      </c>
    </row>
    <row r="35" spans="1:3" x14ac:dyDescent="0.3">
      <c r="A35" s="42">
        <v>1033</v>
      </c>
      <c r="B35" s="46" t="s">
        <v>74</v>
      </c>
      <c r="C35" s="44" t="str">
        <f t="shared" si="0"/>
        <v>Blanket</v>
      </c>
    </row>
    <row r="36" spans="1:3" x14ac:dyDescent="0.3">
      <c r="A36" s="42">
        <v>1034</v>
      </c>
      <c r="B36" s="46" t="s">
        <v>75</v>
      </c>
      <c r="C36" s="44" t="str">
        <f t="shared" si="0"/>
        <v>Blanket  Cover</v>
      </c>
    </row>
    <row r="37" spans="1:3" x14ac:dyDescent="0.3">
      <c r="A37" s="42">
        <v>1035</v>
      </c>
      <c r="B37" s="46" t="s">
        <v>76</v>
      </c>
      <c r="C37" s="44" t="str">
        <f t="shared" si="0"/>
        <v>Water jug</v>
      </c>
    </row>
    <row r="38" spans="1:3" x14ac:dyDescent="0.3">
      <c r="A38" s="42">
        <v>1036</v>
      </c>
      <c r="B38" s="46" t="s">
        <v>77</v>
      </c>
      <c r="C38" s="44" t="str">
        <f t="shared" si="0"/>
        <v>Drinking glass</v>
      </c>
    </row>
    <row r="39" spans="1:3" x14ac:dyDescent="0.3">
      <c r="A39" s="42">
        <v>1037</v>
      </c>
      <c r="B39" s="46" t="s">
        <v>78</v>
      </c>
      <c r="C39" s="44" t="str">
        <f t="shared" si="0"/>
        <v>Tea Cup with plate</v>
      </c>
    </row>
    <row r="40" spans="1:3" x14ac:dyDescent="0.3">
      <c r="A40" s="42">
        <v>1038</v>
      </c>
      <c r="B40" s="46" t="s">
        <v>80</v>
      </c>
      <c r="C40" s="44" t="str">
        <f t="shared" si="0"/>
        <v>Tea spoon</v>
      </c>
    </row>
    <row r="41" spans="1:3" x14ac:dyDescent="0.3">
      <c r="A41" s="42">
        <v>1039</v>
      </c>
      <c r="B41" s="46" t="s">
        <v>81</v>
      </c>
      <c r="C41" s="44" t="str">
        <f t="shared" si="0"/>
        <v>Curry spoon</v>
      </c>
    </row>
    <row r="42" spans="1:3" x14ac:dyDescent="0.3">
      <c r="A42" s="42">
        <v>1040</v>
      </c>
      <c r="B42" s="46" t="s">
        <v>82</v>
      </c>
      <c r="C42" s="44" t="str">
        <f t="shared" si="0"/>
        <v>Rice plate (Malamine)</v>
      </c>
    </row>
    <row r="43" spans="1:3" x14ac:dyDescent="0.3">
      <c r="A43" s="42">
        <v>1041</v>
      </c>
      <c r="B43" s="46" t="s">
        <v>83</v>
      </c>
      <c r="C43" s="44" t="str">
        <f t="shared" si="0"/>
        <v>Rice dish</v>
      </c>
    </row>
    <row r="44" spans="1:3" x14ac:dyDescent="0.3">
      <c r="A44" s="42">
        <v>1042</v>
      </c>
      <c r="B44" s="46" t="s">
        <v>84</v>
      </c>
      <c r="C44" s="44" t="str">
        <f t="shared" si="0"/>
        <v>Curry dish</v>
      </c>
    </row>
    <row r="45" spans="1:3" x14ac:dyDescent="0.3">
      <c r="A45" s="42">
        <v>1043</v>
      </c>
      <c r="B45" s="46" t="s">
        <v>85</v>
      </c>
      <c r="C45" s="44" t="str">
        <f t="shared" si="0"/>
        <v>Quarter plate</v>
      </c>
    </row>
    <row r="46" spans="1:3" x14ac:dyDescent="0.3">
      <c r="A46" s="42">
        <v>1044</v>
      </c>
      <c r="B46" s="46" t="s">
        <v>86</v>
      </c>
      <c r="C46" s="44" t="str">
        <f t="shared" si="0"/>
        <v>Rice spoon</v>
      </c>
    </row>
    <row r="47" spans="1:3" x14ac:dyDescent="0.3">
      <c r="A47" s="42">
        <v>1045</v>
      </c>
      <c r="B47" s="46" t="s">
        <v>87</v>
      </c>
      <c r="C47" s="44" t="str">
        <f t="shared" si="0"/>
        <v>Curry spoon (SS)</v>
      </c>
    </row>
    <row r="48" spans="1:3" x14ac:dyDescent="0.3">
      <c r="A48" s="42">
        <v>1046</v>
      </c>
      <c r="B48" s="46" t="s">
        <v>88</v>
      </c>
      <c r="C48" s="44" t="str">
        <f t="shared" si="0"/>
        <v>Milk pot</v>
      </c>
    </row>
    <row r="49" spans="1:3" x14ac:dyDescent="0.3">
      <c r="A49" s="42">
        <v>1047</v>
      </c>
      <c r="B49" s="46" t="s">
        <v>89</v>
      </c>
      <c r="C49" s="44" t="str">
        <f t="shared" si="0"/>
        <v>Sugar pot</v>
      </c>
    </row>
    <row r="50" spans="1:3" x14ac:dyDescent="0.3">
      <c r="A50" s="42">
        <v>1048</v>
      </c>
      <c r="B50" s="46" t="s">
        <v>90</v>
      </c>
      <c r="C50" s="44" t="str">
        <f t="shared" si="0"/>
        <v>Hot box tiffin carrier</v>
      </c>
    </row>
    <row r="51" spans="1:3" x14ac:dyDescent="0.3">
      <c r="A51" s="42">
        <v>1049</v>
      </c>
      <c r="B51" s="46" t="s">
        <v>91</v>
      </c>
      <c r="C51" s="44" t="str">
        <f t="shared" si="0"/>
        <v>Water heater</v>
      </c>
    </row>
    <row r="52" spans="1:3" x14ac:dyDescent="0.3">
      <c r="A52" s="42">
        <v>1050</v>
      </c>
      <c r="B52" s="46" t="s">
        <v>92</v>
      </c>
      <c r="C52" s="44" t="str">
        <f t="shared" si="0"/>
        <v>Bucket for Toilet</v>
      </c>
    </row>
    <row r="53" spans="1:3" x14ac:dyDescent="0.3">
      <c r="A53" s="42">
        <v>1051</v>
      </c>
      <c r="B53" s="46" t="s">
        <v>93</v>
      </c>
      <c r="C53" s="44" t="str">
        <f t="shared" si="0"/>
        <v>Mug for Toilet</v>
      </c>
    </row>
    <row r="54" spans="1:3" x14ac:dyDescent="0.3">
      <c r="A54" s="42">
        <v>1052</v>
      </c>
      <c r="B54" s="46" t="s">
        <v>94</v>
      </c>
      <c r="C54" s="44" t="str">
        <f t="shared" si="0"/>
        <v>Cloth hanging clip</v>
      </c>
    </row>
    <row r="55" spans="1:3" x14ac:dyDescent="0.3">
      <c r="A55" s="42">
        <v>1053</v>
      </c>
      <c r="B55" s="46" t="s">
        <v>95</v>
      </c>
      <c r="C55" s="44" t="str">
        <f t="shared" si="0"/>
        <v>Waste bin with lid</v>
      </c>
    </row>
    <row r="56" spans="1:3" x14ac:dyDescent="0.3">
      <c r="A56" s="42">
        <v>1054</v>
      </c>
      <c r="B56" s="46" t="s">
        <v>96</v>
      </c>
      <c r="C56" s="44" t="str">
        <f t="shared" si="0"/>
        <v>Paper basket-1</v>
      </c>
    </row>
    <row r="57" spans="1:3" x14ac:dyDescent="0.3">
      <c r="A57" s="42">
        <v>1055</v>
      </c>
      <c r="B57" s="46" t="s">
        <v>97</v>
      </c>
      <c r="C57" s="44" t="str">
        <f t="shared" si="0"/>
        <v>Paper basket-2</v>
      </c>
    </row>
    <row r="58" spans="1:3" x14ac:dyDescent="0.3">
      <c r="A58" s="42">
        <v>1056</v>
      </c>
      <c r="B58" s="46" t="s">
        <v>98</v>
      </c>
      <c r="C58" s="44" t="str">
        <f t="shared" si="0"/>
        <v>Plastic hanger</v>
      </c>
    </row>
    <row r="59" spans="1:3" x14ac:dyDescent="0.3">
      <c r="A59" s="42">
        <v>1057</v>
      </c>
      <c r="B59" s="46" t="s">
        <v>99</v>
      </c>
      <c r="C59" s="44" t="str">
        <f t="shared" si="0"/>
        <v>Bucket for room cleaning</v>
      </c>
    </row>
    <row r="60" spans="1:3" x14ac:dyDescent="0.3">
      <c r="A60" s="42">
        <v>1058</v>
      </c>
      <c r="B60" s="46" t="s">
        <v>100</v>
      </c>
      <c r="C60" s="44" t="str">
        <f t="shared" si="0"/>
        <v>Water pot (New)</v>
      </c>
    </row>
    <row r="61" spans="1:3" x14ac:dyDescent="0.3">
      <c r="A61" s="42">
        <v>1059</v>
      </c>
      <c r="B61" s="46" t="s">
        <v>101</v>
      </c>
      <c r="C61" s="44" t="str">
        <f t="shared" si="0"/>
        <v>Mop for room cleaning (New)</v>
      </c>
    </row>
    <row r="62" spans="1:3" x14ac:dyDescent="0.3">
      <c r="A62" s="42">
        <v>1060</v>
      </c>
      <c r="B62" s="46" t="s">
        <v>102</v>
      </c>
      <c r="C62" s="44" t="str">
        <f t="shared" si="0"/>
        <v>Flower broom (New)</v>
      </c>
    </row>
    <row r="63" spans="1:3" x14ac:dyDescent="0.3">
      <c r="A63" s="42">
        <v>1061</v>
      </c>
      <c r="B63" s="46" t="s">
        <v>103</v>
      </c>
      <c r="C63" s="44" t="str">
        <f t="shared" si="0"/>
        <v>Plastic belcha</v>
      </c>
    </row>
    <row r="64" spans="1:3" x14ac:dyDescent="0.3">
      <c r="A64" s="42">
        <v>1062</v>
      </c>
      <c r="B64" s="46" t="s">
        <v>104</v>
      </c>
      <c r="C64" s="44" t="str">
        <f t="shared" si="0"/>
        <v>SS Stick</v>
      </c>
    </row>
    <row r="65" spans="1:3" x14ac:dyDescent="0.3">
      <c r="A65" s="42">
        <v>1063</v>
      </c>
      <c r="B65" s="46" t="s">
        <v>105</v>
      </c>
      <c r="C65" s="44" t="str">
        <f t="shared" si="0"/>
        <v>Rain coat</v>
      </c>
    </row>
    <row r="66" spans="1:3" x14ac:dyDescent="0.3">
      <c r="A66" s="42">
        <v>1064</v>
      </c>
      <c r="B66" s="46" t="s">
        <v>106</v>
      </c>
      <c r="C66" s="44" t="str">
        <f t="shared" si="0"/>
        <v>Mosquito Racket</v>
      </c>
    </row>
    <row r="67" spans="1:3" x14ac:dyDescent="0.3">
      <c r="A67" s="42">
        <v>1065</v>
      </c>
      <c r="B67" s="46" t="s">
        <v>107</v>
      </c>
      <c r="C67" s="44" t="str">
        <f t="shared" ref="C67:C130" si="1">IF($B$3:$B$1522&lt;&gt;"",$B$3:$B$1522,"")</f>
        <v>Electronic Balance</v>
      </c>
    </row>
    <row r="68" spans="1:3" x14ac:dyDescent="0.3">
      <c r="A68" s="42">
        <v>1066</v>
      </c>
      <c r="B68" s="46" t="s">
        <v>108</v>
      </c>
      <c r="C68" s="44" t="str">
        <f t="shared" si="1"/>
        <v>Prayer Mat (Jainamaz)</v>
      </c>
    </row>
    <row r="69" spans="1:3" x14ac:dyDescent="0.3">
      <c r="A69" s="42">
        <v>1101</v>
      </c>
      <c r="B69" s="46" t="s">
        <v>110</v>
      </c>
      <c r="C69" s="44" t="str">
        <f t="shared" si="1"/>
        <v>LED Tube Light -23W - Used</v>
      </c>
    </row>
    <row r="70" spans="1:3" x14ac:dyDescent="0.3">
      <c r="A70" s="42">
        <v>1102</v>
      </c>
      <c r="B70" s="46" t="s">
        <v>112</v>
      </c>
      <c r="C70" s="44" t="str">
        <f t="shared" si="1"/>
        <v>LED Bulb-9W - New</v>
      </c>
    </row>
    <row r="71" spans="1:3" x14ac:dyDescent="0.3">
      <c r="A71" s="42">
        <v>1103</v>
      </c>
      <c r="B71" s="46" t="s">
        <v>113</v>
      </c>
      <c r="C71" s="44" t="str">
        <f t="shared" si="1"/>
        <v>LED Bulb-9W - Used</v>
      </c>
    </row>
    <row r="72" spans="1:3" x14ac:dyDescent="0.3">
      <c r="A72" s="42">
        <v>1104</v>
      </c>
      <c r="B72" s="46" t="s">
        <v>114</v>
      </c>
      <c r="C72" s="44" t="str">
        <f t="shared" si="1"/>
        <v>LED Red  Bulb-10W - Used</v>
      </c>
    </row>
    <row r="73" spans="1:3" x14ac:dyDescent="0.3">
      <c r="A73" s="42">
        <v>1105</v>
      </c>
      <c r="B73" s="46" t="s">
        <v>115</v>
      </c>
      <c r="C73" s="44" t="str">
        <f t="shared" si="1"/>
        <v>LED Bulb-20W - New</v>
      </c>
    </row>
    <row r="74" spans="1:3" x14ac:dyDescent="0.3">
      <c r="A74" s="42">
        <v>1106</v>
      </c>
      <c r="B74" s="46" t="s">
        <v>116</v>
      </c>
      <c r="C74" s="44" t="str">
        <f t="shared" si="1"/>
        <v>LED Bulb-20W - Used</v>
      </c>
    </row>
    <row r="75" spans="1:3" x14ac:dyDescent="0.3">
      <c r="A75" s="42">
        <v>1107</v>
      </c>
      <c r="B75" s="46" t="s">
        <v>117</v>
      </c>
      <c r="C75" s="44" t="str">
        <f t="shared" si="1"/>
        <v>Light Holder - New</v>
      </c>
    </row>
    <row r="76" spans="1:3" x14ac:dyDescent="0.3">
      <c r="A76" s="42">
        <v>1108</v>
      </c>
      <c r="B76" s="46" t="s">
        <v>118</v>
      </c>
      <c r="C76" s="44" t="str">
        <f t="shared" si="1"/>
        <v>Light Holder - Used</v>
      </c>
    </row>
    <row r="77" spans="1:3" x14ac:dyDescent="0.3">
      <c r="A77" s="42">
        <v>1109</v>
      </c>
      <c r="B77" s="46" t="s">
        <v>119</v>
      </c>
      <c r="C77" s="44" t="str">
        <f t="shared" si="1"/>
        <v>Flood Light (China) - 100W IP - 65/68 - Usesd</v>
      </c>
    </row>
    <row r="78" spans="1:3" x14ac:dyDescent="0.3">
      <c r="A78" s="42">
        <v>1110</v>
      </c>
      <c r="B78" s="46" t="s">
        <v>120</v>
      </c>
      <c r="C78" s="44" t="str">
        <f t="shared" si="1"/>
        <v>Flood Light (China) - 100W IP - 65/68 - New</v>
      </c>
    </row>
    <row r="79" spans="1:3" x14ac:dyDescent="0.3">
      <c r="A79" s="42">
        <v>1111</v>
      </c>
      <c r="B79" s="46" t="s">
        <v>121</v>
      </c>
      <c r="C79" s="44" t="str">
        <f t="shared" si="1"/>
        <v>Flood Light (Transtec) - 100W IP - 65/68 - Used</v>
      </c>
    </row>
    <row r="80" spans="1:3" x14ac:dyDescent="0.3">
      <c r="A80" s="42">
        <v>1112</v>
      </c>
      <c r="B80" s="46" t="s">
        <v>122</v>
      </c>
      <c r="C80" s="44" t="str">
        <f t="shared" si="1"/>
        <v>Flood Light (Transtec) - 100W IP - 65/68 - New</v>
      </c>
    </row>
    <row r="81" spans="1:3" x14ac:dyDescent="0.3">
      <c r="A81" s="42">
        <v>1113</v>
      </c>
      <c r="B81" s="46" t="s">
        <v>123</v>
      </c>
      <c r="C81" s="44" t="str">
        <f t="shared" si="1"/>
        <v>Ceiling Fan (BRB Lovely, White Color) - Used</v>
      </c>
    </row>
    <row r="82" spans="1:3" x14ac:dyDescent="0.3">
      <c r="A82" s="42">
        <v>1114</v>
      </c>
      <c r="B82" s="46" t="s">
        <v>124</v>
      </c>
      <c r="C82" s="44" t="str">
        <f t="shared" si="1"/>
        <v>Ceiling Fan (RFL Click, White Color) - Used, from BD Army</v>
      </c>
    </row>
    <row r="83" spans="1:3" x14ac:dyDescent="0.3">
      <c r="A83" s="42">
        <v>1115</v>
      </c>
      <c r="B83" s="46" t="s">
        <v>125</v>
      </c>
      <c r="C83" s="44" t="str">
        <f t="shared" si="1"/>
        <v>Ceiling Fan (Out of Order/Not workable) - Used, from BD Army</v>
      </c>
    </row>
    <row r="84" spans="1:3" x14ac:dyDescent="0.3">
      <c r="A84" s="42">
        <v>1116</v>
      </c>
      <c r="B84" s="46" t="s">
        <v>126</v>
      </c>
      <c r="C84" s="44" t="str">
        <f t="shared" si="1"/>
        <v>Pedestal Fan (GFC - Pakistan)</v>
      </c>
    </row>
    <row r="85" spans="1:3" x14ac:dyDescent="0.3">
      <c r="A85" s="42">
        <v>1117</v>
      </c>
      <c r="B85" s="46" t="s">
        <v>127</v>
      </c>
      <c r="C85" s="44" t="str">
        <f t="shared" si="1"/>
        <v>Wall Fan (Meera 20")</v>
      </c>
    </row>
    <row r="86" spans="1:3" x14ac:dyDescent="0.3">
      <c r="A86" s="42">
        <v>1118</v>
      </c>
      <c r="B86" s="46" t="s">
        <v>128</v>
      </c>
      <c r="C86" s="44" t="str">
        <f t="shared" si="1"/>
        <v>Exhaust Fan (For Toilet, 12"x12") - Used</v>
      </c>
    </row>
    <row r="87" spans="1:3" x14ac:dyDescent="0.3">
      <c r="A87" s="42">
        <v>1119</v>
      </c>
      <c r="B87" s="46" t="s">
        <v>129</v>
      </c>
      <c r="C87" s="44" t="str">
        <f t="shared" si="1"/>
        <v>Exhaust Fan (Industrial Type, 1.5'x1.5')</v>
      </c>
    </row>
    <row r="88" spans="1:3" x14ac:dyDescent="0.3">
      <c r="A88" s="42">
        <v>1120</v>
      </c>
      <c r="B88" s="46" t="s">
        <v>130</v>
      </c>
      <c r="C88" s="44" t="str">
        <f t="shared" si="1"/>
        <v>AC- 1 Ton (Gree)</v>
      </c>
    </row>
    <row r="89" spans="1:3" x14ac:dyDescent="0.3">
      <c r="A89" s="42">
        <v>1121</v>
      </c>
      <c r="B89" s="46" t="s">
        <v>131</v>
      </c>
      <c r="C89" s="44" t="str">
        <f t="shared" si="1"/>
        <v>DOL Starter (1.1/2 KW) - New</v>
      </c>
    </row>
    <row r="90" spans="1:3" x14ac:dyDescent="0.3">
      <c r="A90" s="42">
        <v>1122</v>
      </c>
      <c r="B90" s="46" t="s">
        <v>132</v>
      </c>
      <c r="C90" s="44" t="str">
        <f t="shared" si="1"/>
        <v>Switch &amp; Sockets (around 200 Pcs)</v>
      </c>
    </row>
    <row r="91" spans="1:3" x14ac:dyDescent="0.3">
      <c r="A91" s="42">
        <v>1123</v>
      </c>
      <c r="B91" s="46" t="s">
        <v>133</v>
      </c>
      <c r="C91" s="44" t="str">
        <f t="shared" si="1"/>
        <v>All types of Cables</v>
      </c>
    </row>
    <row r="92" spans="1:3" x14ac:dyDescent="0.3">
      <c r="A92" s="42">
        <v>1124</v>
      </c>
      <c r="B92" s="46" t="s">
        <v>135</v>
      </c>
      <c r="C92" s="44" t="str">
        <f t="shared" si="1"/>
        <v>PVC Conduit, Channel, Box, Bend, Elbow &amp; Tee</v>
      </c>
    </row>
    <row r="93" spans="1:3" x14ac:dyDescent="0.3">
      <c r="A93" s="42">
        <v>1125</v>
      </c>
      <c r="B93" s="46" t="s">
        <v>136</v>
      </c>
      <c r="C93" s="44" t="str">
        <f t="shared" si="1"/>
        <v>Queue Barrier</v>
      </c>
    </row>
    <row r="94" spans="1:3" x14ac:dyDescent="0.3">
      <c r="A94" s="42">
        <v>1126</v>
      </c>
      <c r="B94" s="46" t="s">
        <v>137</v>
      </c>
      <c r="C94" s="44" t="str">
        <f t="shared" si="1"/>
        <v>Fire Extinguisher-ABC dry chemical</v>
      </c>
    </row>
    <row r="95" spans="1:3" x14ac:dyDescent="0.3">
      <c r="A95" s="42">
        <v>1127</v>
      </c>
      <c r="B95" s="46" t="s">
        <v>138</v>
      </c>
      <c r="C95" s="44" t="str">
        <f t="shared" si="1"/>
        <v>Fire Extinguisher-Co2</v>
      </c>
    </row>
    <row r="96" spans="1:3" x14ac:dyDescent="0.3">
      <c r="A96" s="42">
        <v>1128</v>
      </c>
      <c r="B96" s="46" t="s">
        <v>139</v>
      </c>
      <c r="C96" s="44" t="str">
        <f t="shared" si="1"/>
        <v>Fire Extinguisher-Foam</v>
      </c>
    </row>
    <row r="97" spans="1:3" x14ac:dyDescent="0.3">
      <c r="A97" s="42">
        <v>1129</v>
      </c>
      <c r="B97" s="46" t="s">
        <v>140</v>
      </c>
      <c r="C97" s="44" t="str">
        <f t="shared" si="1"/>
        <v xml:space="preserve">Calling Bell for Flats - New </v>
      </c>
    </row>
    <row r="98" spans="1:3" x14ac:dyDescent="0.3">
      <c r="A98" s="42">
        <v>1130</v>
      </c>
      <c r="B98" s="46" t="s">
        <v>141</v>
      </c>
      <c r="C98" s="44" t="str">
        <f t="shared" si="1"/>
        <v>Calling Bell for Flats - Used</v>
      </c>
    </row>
    <row r="99" spans="1:3" x14ac:dyDescent="0.3">
      <c r="A99" s="42">
        <v>1131</v>
      </c>
      <c r="B99" s="46" t="s">
        <v>142</v>
      </c>
      <c r="C99" s="44" t="str">
        <f t="shared" si="1"/>
        <v>Calling Bell for OFFICE - New</v>
      </c>
    </row>
    <row r="100" spans="1:3" x14ac:dyDescent="0.3">
      <c r="A100" s="42">
        <v>1132</v>
      </c>
      <c r="B100" s="46" t="s">
        <v>143</v>
      </c>
      <c r="C100" s="44" t="str">
        <f t="shared" si="1"/>
        <v>Calling Bell for OFFICE - Used</v>
      </c>
    </row>
    <row r="101" spans="1:3" x14ac:dyDescent="0.3">
      <c r="A101" s="42">
        <v>1133</v>
      </c>
      <c r="B101" s="46" t="s">
        <v>144</v>
      </c>
      <c r="C101" s="44" t="str">
        <f t="shared" si="1"/>
        <v>Multiplug (4 Point)</v>
      </c>
    </row>
    <row r="102" spans="1:3" x14ac:dyDescent="0.3">
      <c r="A102" s="42">
        <v>1134</v>
      </c>
      <c r="B102" s="46" t="s">
        <v>145</v>
      </c>
      <c r="C102" s="44" t="str">
        <f t="shared" si="1"/>
        <v>Multiplug (5 Point)</v>
      </c>
    </row>
    <row r="103" spans="1:3" x14ac:dyDescent="0.3">
      <c r="A103" s="42">
        <v>1201</v>
      </c>
      <c r="B103" s="46" t="s">
        <v>147</v>
      </c>
      <c r="C103" s="44" t="str">
        <f t="shared" si="1"/>
        <v>TV (24") - Rangs, RL-24G302</v>
      </c>
    </row>
    <row r="104" spans="1:3" x14ac:dyDescent="0.3">
      <c r="A104" s="42">
        <v>1202</v>
      </c>
      <c r="B104" s="46" t="s">
        <v>148</v>
      </c>
      <c r="C104" s="44" t="str">
        <f t="shared" si="1"/>
        <v>Wifi Router (AP)</v>
      </c>
    </row>
    <row r="105" spans="1:3" x14ac:dyDescent="0.3">
      <c r="A105" s="42">
        <v>1203</v>
      </c>
      <c r="B105" s="46" t="s">
        <v>149</v>
      </c>
      <c r="C105" s="44" t="str">
        <f t="shared" si="1"/>
        <v xml:space="preserve">Booth Microphone </v>
      </c>
    </row>
    <row r="106" spans="1:3" x14ac:dyDescent="0.3">
      <c r="A106" s="42">
        <v>1204</v>
      </c>
      <c r="B106" s="46" t="s">
        <v>150</v>
      </c>
      <c r="C106" s="44" t="str">
        <f t="shared" si="1"/>
        <v>CAT-6, Coaxial RG-6/11,  TEL Pair Cables</v>
      </c>
    </row>
    <row r="107" spans="1:3" x14ac:dyDescent="0.3">
      <c r="A107" s="42">
        <v>1301</v>
      </c>
      <c r="B107" s="46" t="s">
        <v>152</v>
      </c>
      <c r="C107" s="44" t="str">
        <f t="shared" si="1"/>
        <v>DB Box - Small (Walton) (New)</v>
      </c>
    </row>
    <row r="108" spans="1:3" x14ac:dyDescent="0.3">
      <c r="A108" s="42">
        <v>1302</v>
      </c>
      <c r="B108" s="46" t="s">
        <v>153</v>
      </c>
      <c r="C108" s="44" t="str">
        <f t="shared" si="1"/>
        <v>DB Box - Small (Walton) (Used)</v>
      </c>
    </row>
    <row r="109" spans="1:3" x14ac:dyDescent="0.3">
      <c r="A109" s="42">
        <v>1303</v>
      </c>
      <c r="B109" s="46" t="s">
        <v>154</v>
      </c>
      <c r="C109" s="44" t="str">
        <f t="shared" si="1"/>
        <v>Refreezarator- Small Size - Singer Bangladesh Limited</v>
      </c>
    </row>
    <row r="110" spans="1:3" x14ac:dyDescent="0.3">
      <c r="A110" s="42">
        <v>1304</v>
      </c>
      <c r="B110" s="46" t="s">
        <v>155</v>
      </c>
      <c r="C110" s="44" t="str">
        <f t="shared" si="1"/>
        <v>Portable Speaker</v>
      </c>
    </row>
    <row r="111" spans="1:3" x14ac:dyDescent="0.3">
      <c r="A111" s="42">
        <v>1305</v>
      </c>
      <c r="B111" s="46" t="s">
        <v>156</v>
      </c>
      <c r="C111" s="44" t="str">
        <f t="shared" si="1"/>
        <v>Pen Holder for TV Remote-1</v>
      </c>
    </row>
    <row r="112" spans="1:3" x14ac:dyDescent="0.3">
      <c r="A112" s="42">
        <v>1306</v>
      </c>
      <c r="B112" s="46" t="s">
        <v>157</v>
      </c>
      <c r="C112" s="44" t="str">
        <f t="shared" si="1"/>
        <v>Pen Holder for TV Remote-2</v>
      </c>
    </row>
    <row r="113" spans="1:3" x14ac:dyDescent="0.3">
      <c r="A113" s="42">
        <v>1307</v>
      </c>
      <c r="B113" s="46" t="s">
        <v>158</v>
      </c>
      <c r="C113" s="44" t="str">
        <f t="shared" si="1"/>
        <v>HDMI Cable</v>
      </c>
    </row>
    <row r="114" spans="1:3" x14ac:dyDescent="0.3">
      <c r="A114" s="42">
        <v>1308</v>
      </c>
      <c r="B114" s="46" t="s">
        <v>159</v>
      </c>
      <c r="C114" s="44" t="str">
        <f t="shared" si="1"/>
        <v>Pendrive for official purpose</v>
      </c>
    </row>
    <row r="115" spans="1:3" x14ac:dyDescent="0.3">
      <c r="A115" s="42">
        <v>1309</v>
      </c>
      <c r="B115" s="46" t="s">
        <v>160</v>
      </c>
      <c r="C115" s="44" t="str">
        <f t="shared" si="1"/>
        <v>Thermal Sensor for DB Boards</v>
      </c>
    </row>
    <row r="116" spans="1:3" x14ac:dyDescent="0.3">
      <c r="A116" s="42">
        <v>1310</v>
      </c>
      <c r="B116" s="46" t="s">
        <v>161</v>
      </c>
      <c r="C116" s="44" t="str">
        <f t="shared" si="1"/>
        <v>Wall Clock-1</v>
      </c>
    </row>
    <row r="117" spans="1:3" x14ac:dyDescent="0.3">
      <c r="A117" s="42">
        <v>1311</v>
      </c>
      <c r="B117" s="46" t="s">
        <v>162</v>
      </c>
      <c r="C117" s="44" t="str">
        <f t="shared" si="1"/>
        <v>Wall Clock-2</v>
      </c>
    </row>
    <row r="118" spans="1:3" x14ac:dyDescent="0.3">
      <c r="A118" s="42">
        <v>1312</v>
      </c>
      <c r="B118" s="46" t="s">
        <v>163</v>
      </c>
      <c r="C118" s="44" t="str">
        <f t="shared" si="1"/>
        <v>Wall Clock-3</v>
      </c>
    </row>
    <row r="119" spans="1:3" x14ac:dyDescent="0.3">
      <c r="A119" s="42">
        <v>1313</v>
      </c>
      <c r="B119" s="46" t="s">
        <v>164</v>
      </c>
      <c r="C119" s="44" t="str">
        <f t="shared" si="1"/>
        <v>Presenter Logitech Wireless - Tech Express</v>
      </c>
    </row>
    <row r="120" spans="1:3" x14ac:dyDescent="0.3">
      <c r="A120" s="42">
        <v>1314</v>
      </c>
      <c r="B120" s="46" t="s">
        <v>165</v>
      </c>
      <c r="C120" s="44" t="str">
        <f t="shared" si="1"/>
        <v>Rechargeable Battery &amp; Charger for Sound box Mic Speaker</v>
      </c>
    </row>
    <row r="121" spans="1:3" x14ac:dyDescent="0.3">
      <c r="A121" s="42">
        <v>1315</v>
      </c>
      <c r="B121" s="46" t="s">
        <v>166</v>
      </c>
      <c r="C121" s="44" t="str">
        <f t="shared" si="1"/>
        <v>Jacket for Fire Drill</v>
      </c>
    </row>
    <row r="122" spans="1:3" x14ac:dyDescent="0.3">
      <c r="A122" s="42">
        <v>1316</v>
      </c>
      <c r="B122" s="46" t="s">
        <v>167</v>
      </c>
      <c r="C122" s="44" t="str">
        <f t="shared" si="1"/>
        <v>Helmet for Fire Drill</v>
      </c>
    </row>
    <row r="123" spans="1:3" x14ac:dyDescent="0.3">
      <c r="A123" s="42">
        <v>1317</v>
      </c>
      <c r="B123" s="46" t="s">
        <v>168</v>
      </c>
      <c r="C123" s="44" t="str">
        <f t="shared" si="1"/>
        <v>Big Pan (for Fire Drill)</v>
      </c>
    </row>
    <row r="124" spans="1:3" x14ac:dyDescent="0.3">
      <c r="A124" s="42">
        <v>1318</v>
      </c>
      <c r="B124" s="46" t="s">
        <v>169</v>
      </c>
      <c r="C124" s="44" t="str">
        <f t="shared" si="1"/>
        <v>Cutting Plier for various use</v>
      </c>
    </row>
    <row r="125" spans="1:3" x14ac:dyDescent="0.3">
      <c r="A125" s="42">
        <v>1319</v>
      </c>
      <c r="B125" s="46" t="s">
        <v>170</v>
      </c>
      <c r="C125" s="44" t="str">
        <f t="shared" si="1"/>
        <v>Screwdriver for various use</v>
      </c>
    </row>
    <row r="126" spans="1:3" x14ac:dyDescent="0.3">
      <c r="A126" s="42">
        <v>1320</v>
      </c>
      <c r="B126" s="46" t="s">
        <v>171</v>
      </c>
      <c r="C126" s="44" t="str">
        <f t="shared" si="1"/>
        <v xml:space="preserve">Torch light </v>
      </c>
    </row>
    <row r="127" spans="1:3" x14ac:dyDescent="0.3">
      <c r="A127" s="42">
        <v>1321</v>
      </c>
      <c r="B127" s="46" t="s">
        <v>172</v>
      </c>
      <c r="C127" s="44" t="str">
        <f t="shared" si="1"/>
        <v>Manual sprayer machine</v>
      </c>
    </row>
    <row r="128" spans="1:3" x14ac:dyDescent="0.3">
      <c r="A128" s="42">
        <v>1401</v>
      </c>
      <c r="B128" s="46" t="s">
        <v>174</v>
      </c>
      <c r="C128" s="44" t="str">
        <f t="shared" si="1"/>
        <v>Chair</v>
      </c>
    </row>
    <row r="129" spans="1:3" x14ac:dyDescent="0.3">
      <c r="A129" s="42">
        <v>1402</v>
      </c>
      <c r="B129" s="46" t="s">
        <v>175</v>
      </c>
      <c r="C129" s="44" t="str">
        <f t="shared" si="1"/>
        <v>Dining Table with 6 chair</v>
      </c>
    </row>
    <row r="130" spans="1:3" x14ac:dyDescent="0.3">
      <c r="A130" s="42">
        <v>1403</v>
      </c>
      <c r="B130" s="46" t="s">
        <v>176</v>
      </c>
      <c r="C130" s="44" t="str">
        <f t="shared" si="1"/>
        <v>Table (Small)</v>
      </c>
    </row>
    <row r="131" spans="1:3" x14ac:dyDescent="0.3">
      <c r="A131" s="42">
        <v>1404</v>
      </c>
      <c r="B131" s="46" t="s">
        <v>177</v>
      </c>
      <c r="C131" s="44" t="str">
        <f t="shared" ref="C131:C194" si="2">IF($B$3:$B$1522&lt;&gt;"",$B$3:$B$1522,"")</f>
        <v>Table (Large)</v>
      </c>
    </row>
    <row r="132" spans="1:3" x14ac:dyDescent="0.3">
      <c r="A132" s="42">
        <v>1405</v>
      </c>
      <c r="B132" s="46" t="s">
        <v>178</v>
      </c>
      <c r="C132" s="44" t="str">
        <f t="shared" si="2"/>
        <v>Marble Table</v>
      </c>
    </row>
    <row r="133" spans="1:3" x14ac:dyDescent="0.3">
      <c r="A133" s="42">
        <v>1406</v>
      </c>
      <c r="B133" s="46" t="s">
        <v>179</v>
      </c>
      <c r="C133" s="44" t="str">
        <f t="shared" si="2"/>
        <v>Cabinet</v>
      </c>
    </row>
    <row r="134" spans="1:3" x14ac:dyDescent="0.3">
      <c r="A134" s="42">
        <v>1407</v>
      </c>
      <c r="B134" s="46" t="s">
        <v>180</v>
      </c>
      <c r="C134" s="44" t="str">
        <f t="shared" si="2"/>
        <v>Trolley-1</v>
      </c>
    </row>
    <row r="135" spans="1:3" x14ac:dyDescent="0.3">
      <c r="A135" s="42">
        <v>1408</v>
      </c>
      <c r="B135" s="46" t="s">
        <v>181</v>
      </c>
      <c r="C135" s="44" t="str">
        <f t="shared" si="2"/>
        <v>Trolley-2</v>
      </c>
    </row>
    <row r="136" spans="1:3" x14ac:dyDescent="0.3">
      <c r="A136" s="42">
        <v>1409</v>
      </c>
      <c r="B136" s="46" t="s">
        <v>182</v>
      </c>
      <c r="C136" s="44" t="str">
        <f t="shared" si="2"/>
        <v>Almirah</v>
      </c>
    </row>
    <row r="137" spans="1:3" x14ac:dyDescent="0.3">
      <c r="A137" s="42">
        <v>1410</v>
      </c>
      <c r="B137" s="46" t="s">
        <v>183</v>
      </c>
      <c r="C137" s="44" t="str">
        <f t="shared" si="2"/>
        <v>Bucket</v>
      </c>
    </row>
    <row r="138" spans="1:3" x14ac:dyDescent="0.3">
      <c r="A138" s="42">
        <v>1411</v>
      </c>
      <c r="B138" s="46" t="s">
        <v>184</v>
      </c>
      <c r="C138" s="44" t="str">
        <f t="shared" si="2"/>
        <v>Mug</v>
      </c>
    </row>
    <row r="139" spans="1:3" x14ac:dyDescent="0.3">
      <c r="A139" s="42">
        <v>1412</v>
      </c>
      <c r="B139" s="46" t="s">
        <v>185</v>
      </c>
      <c r="C139" s="44" t="str">
        <f t="shared" si="2"/>
        <v>Mini Drawer</v>
      </c>
    </row>
    <row r="140" spans="1:3" x14ac:dyDescent="0.3">
      <c r="A140" s="42">
        <v>1413</v>
      </c>
      <c r="B140" s="46" t="s">
        <v>186</v>
      </c>
      <c r="C140" s="44" t="str">
        <f t="shared" si="2"/>
        <v>Weight Machine</v>
      </c>
    </row>
    <row r="141" spans="1:3" x14ac:dyDescent="0.3">
      <c r="A141" s="42">
        <v>1414</v>
      </c>
      <c r="B141" s="46" t="s">
        <v>187</v>
      </c>
      <c r="C141" s="44" t="str">
        <f t="shared" si="2"/>
        <v>Iron</v>
      </c>
    </row>
    <row r="142" spans="1:3" x14ac:dyDescent="0.3">
      <c r="A142" s="42">
        <v>1415</v>
      </c>
      <c r="B142" s="46" t="s">
        <v>188</v>
      </c>
      <c r="C142" s="44" t="str">
        <f t="shared" si="2"/>
        <v>Multiplug</v>
      </c>
    </row>
    <row r="143" spans="1:3" x14ac:dyDescent="0.3">
      <c r="A143" s="42">
        <v>1416</v>
      </c>
      <c r="B143" s="46" t="s">
        <v>189</v>
      </c>
      <c r="C143" s="44" t="str">
        <f t="shared" si="2"/>
        <v>White board</v>
      </c>
    </row>
    <row r="144" spans="1:3" x14ac:dyDescent="0.3">
      <c r="A144" s="42">
        <v>1417</v>
      </c>
      <c r="B144" s="46" t="s">
        <v>190</v>
      </c>
      <c r="C144" s="44" t="str">
        <f t="shared" si="2"/>
        <v>Drinky water purifier (electric)</v>
      </c>
    </row>
    <row r="145" spans="1:3" x14ac:dyDescent="0.3">
      <c r="A145" s="42">
        <v>1418</v>
      </c>
      <c r="B145" s="46" t="s">
        <v>191</v>
      </c>
      <c r="C145" s="44" t="str">
        <f t="shared" si="2"/>
        <v>RFL plastic shoe rack</v>
      </c>
    </row>
    <row r="146" spans="1:3" x14ac:dyDescent="0.3">
      <c r="A146" s="42">
        <v>1419</v>
      </c>
      <c r="B146" s="46" t="s">
        <v>192</v>
      </c>
      <c r="C146" s="44" t="str">
        <f t="shared" si="2"/>
        <v>Vision electric kettle</v>
      </c>
    </row>
    <row r="147" spans="1:3" x14ac:dyDescent="0.3">
      <c r="A147" s="42">
        <v>1420</v>
      </c>
      <c r="B147" s="46" t="s">
        <v>193</v>
      </c>
      <c r="C147" s="44" t="str">
        <f t="shared" si="2"/>
        <v>AIRPOT happy lion flask - 3 litre</v>
      </c>
    </row>
    <row r="148" spans="1:3" x14ac:dyDescent="0.3">
      <c r="A148" s="42">
        <v>1421</v>
      </c>
      <c r="B148" s="46" t="s">
        <v>194</v>
      </c>
      <c r="C148" s="44" t="str">
        <f t="shared" si="2"/>
        <v>Tool</v>
      </c>
    </row>
    <row r="149" spans="1:3" x14ac:dyDescent="0.3">
      <c r="A149" s="42">
        <v>1422</v>
      </c>
      <c r="B149" s="46" t="s">
        <v>195</v>
      </c>
      <c r="C149" s="44" t="str">
        <f t="shared" si="2"/>
        <v>Plastic Box</v>
      </c>
    </row>
    <row r="150" spans="1:3" x14ac:dyDescent="0.3">
      <c r="A150" s="42">
        <v>1423</v>
      </c>
      <c r="B150" s="46" t="s">
        <v>91</v>
      </c>
      <c r="C150" s="44" t="str">
        <f t="shared" si="2"/>
        <v>Water heater</v>
      </c>
    </row>
    <row r="151" spans="1:3" x14ac:dyDescent="0.3">
      <c r="A151" s="42">
        <v>1424</v>
      </c>
      <c r="B151" s="46" t="s">
        <v>196</v>
      </c>
      <c r="C151" s="44" t="str">
        <f t="shared" si="2"/>
        <v>Marker</v>
      </c>
    </row>
    <row r="152" spans="1:3" x14ac:dyDescent="0.3">
      <c r="A152" s="42">
        <v>1425</v>
      </c>
      <c r="B152" s="46" t="s">
        <v>197</v>
      </c>
      <c r="C152" s="44" t="str">
        <f t="shared" si="2"/>
        <v>Highlighter</v>
      </c>
    </row>
    <row r="153" spans="1:3" x14ac:dyDescent="0.3">
      <c r="A153" s="42">
        <v>1426</v>
      </c>
      <c r="B153" s="46" t="s">
        <v>198</v>
      </c>
      <c r="C153" s="44" t="str">
        <f t="shared" si="2"/>
        <v>Bin</v>
      </c>
    </row>
    <row r="154" spans="1:3" x14ac:dyDescent="0.3">
      <c r="A154" s="42">
        <v>1427</v>
      </c>
      <c r="B154" s="46" t="s">
        <v>199</v>
      </c>
      <c r="C154" s="44" t="str">
        <f t="shared" si="2"/>
        <v>Paddle Bin</v>
      </c>
    </row>
    <row r="155" spans="1:3" x14ac:dyDescent="0.3">
      <c r="A155" s="42">
        <v>1428</v>
      </c>
      <c r="B155" s="46" t="s">
        <v>200</v>
      </c>
      <c r="C155" s="44" t="str">
        <f t="shared" si="2"/>
        <v>Paddle Bin (Small)</v>
      </c>
    </row>
    <row r="156" spans="1:3" x14ac:dyDescent="0.3">
      <c r="A156" s="42">
        <v>1429</v>
      </c>
      <c r="B156" s="46" t="s">
        <v>201</v>
      </c>
      <c r="C156" s="44" t="str">
        <f t="shared" si="2"/>
        <v>RFL Dish Rack Red</v>
      </c>
    </row>
    <row r="157" spans="1:3" x14ac:dyDescent="0.3">
      <c r="A157" s="42">
        <v>1430</v>
      </c>
      <c r="B157" s="46" t="s">
        <v>202</v>
      </c>
      <c r="C157" s="44" t="str">
        <f t="shared" si="2"/>
        <v>RFL Kitchen Rack</v>
      </c>
    </row>
    <row r="158" spans="1:3" x14ac:dyDescent="0.3">
      <c r="A158" s="41"/>
      <c r="B158" s="47"/>
      <c r="C158" s="44" t="str">
        <f t="shared" si="2"/>
        <v/>
      </c>
    </row>
    <row r="159" spans="1:3" x14ac:dyDescent="0.3">
      <c r="A159" s="41"/>
      <c r="B159" s="47"/>
      <c r="C159" s="44" t="str">
        <f t="shared" si="2"/>
        <v/>
      </c>
    </row>
    <row r="160" spans="1:3" x14ac:dyDescent="0.3">
      <c r="A160" s="41"/>
      <c r="B160" s="47"/>
      <c r="C160" s="44" t="str">
        <f t="shared" si="2"/>
        <v/>
      </c>
    </row>
    <row r="161" spans="1:3" x14ac:dyDescent="0.3">
      <c r="A161" s="41"/>
      <c r="B161" s="47"/>
      <c r="C161" s="44" t="str">
        <f t="shared" si="2"/>
        <v/>
      </c>
    </row>
    <row r="162" spans="1:3" x14ac:dyDescent="0.3">
      <c r="A162" s="41"/>
      <c r="B162" s="47"/>
      <c r="C162" s="44" t="str">
        <f t="shared" si="2"/>
        <v/>
      </c>
    </row>
    <row r="163" spans="1:3" x14ac:dyDescent="0.3">
      <c r="A163" s="41"/>
      <c r="B163" s="47"/>
      <c r="C163" s="44" t="str">
        <f t="shared" si="2"/>
        <v/>
      </c>
    </row>
    <row r="164" spans="1:3" x14ac:dyDescent="0.3">
      <c r="A164" s="41"/>
      <c r="B164" s="47"/>
      <c r="C164" s="44" t="str">
        <f t="shared" si="2"/>
        <v/>
      </c>
    </row>
    <row r="165" spans="1:3" x14ac:dyDescent="0.3">
      <c r="A165" s="41"/>
      <c r="B165" s="47"/>
      <c r="C165" s="44" t="str">
        <f t="shared" si="2"/>
        <v/>
      </c>
    </row>
    <row r="166" spans="1:3" x14ac:dyDescent="0.3">
      <c r="A166" s="41"/>
      <c r="B166" s="47"/>
      <c r="C166" s="44" t="str">
        <f t="shared" si="2"/>
        <v/>
      </c>
    </row>
    <row r="167" spans="1:3" x14ac:dyDescent="0.3">
      <c r="A167" s="41"/>
      <c r="B167" s="47"/>
      <c r="C167" s="44" t="str">
        <f t="shared" si="2"/>
        <v/>
      </c>
    </row>
    <row r="168" spans="1:3" x14ac:dyDescent="0.3">
      <c r="A168" s="41"/>
      <c r="B168" s="47"/>
      <c r="C168" s="44" t="str">
        <f t="shared" si="2"/>
        <v/>
      </c>
    </row>
    <row r="169" spans="1:3" x14ac:dyDescent="0.3">
      <c r="A169" s="41"/>
      <c r="B169" s="47"/>
      <c r="C169" s="44" t="str">
        <f t="shared" si="2"/>
        <v/>
      </c>
    </row>
    <row r="170" spans="1:3" x14ac:dyDescent="0.3">
      <c r="A170" s="41"/>
      <c r="B170" s="47"/>
      <c r="C170" s="44" t="str">
        <f t="shared" si="2"/>
        <v/>
      </c>
    </row>
    <row r="171" spans="1:3" x14ac:dyDescent="0.3">
      <c r="A171" s="41"/>
      <c r="B171" s="47"/>
      <c r="C171" s="44" t="str">
        <f t="shared" si="2"/>
        <v/>
      </c>
    </row>
    <row r="172" spans="1:3" x14ac:dyDescent="0.3">
      <c r="A172" s="41"/>
      <c r="B172" s="47"/>
      <c r="C172" s="44" t="str">
        <f t="shared" si="2"/>
        <v/>
      </c>
    </row>
    <row r="173" spans="1:3" x14ac:dyDescent="0.3">
      <c r="A173" s="41"/>
      <c r="B173" s="47"/>
      <c r="C173" s="44" t="str">
        <f t="shared" si="2"/>
        <v/>
      </c>
    </row>
    <row r="174" spans="1:3" x14ac:dyDescent="0.3">
      <c r="A174" s="41"/>
      <c r="B174" s="47"/>
      <c r="C174" s="44" t="str">
        <f t="shared" si="2"/>
        <v/>
      </c>
    </row>
    <row r="175" spans="1:3" x14ac:dyDescent="0.3">
      <c r="A175" s="41"/>
      <c r="B175" s="47"/>
      <c r="C175" s="44" t="str">
        <f t="shared" si="2"/>
        <v/>
      </c>
    </row>
    <row r="176" spans="1:3" x14ac:dyDescent="0.3">
      <c r="A176" s="41"/>
      <c r="B176" s="47"/>
      <c r="C176" s="44" t="str">
        <f t="shared" si="2"/>
        <v/>
      </c>
    </row>
    <row r="177" spans="1:3" x14ac:dyDescent="0.3">
      <c r="A177" s="41"/>
      <c r="B177" s="47"/>
      <c r="C177" s="44" t="str">
        <f t="shared" si="2"/>
        <v/>
      </c>
    </row>
    <row r="178" spans="1:3" x14ac:dyDescent="0.3">
      <c r="A178" s="41"/>
      <c r="B178" s="47"/>
      <c r="C178" s="44" t="str">
        <f t="shared" si="2"/>
        <v/>
      </c>
    </row>
    <row r="179" spans="1:3" x14ac:dyDescent="0.3">
      <c r="A179" s="41"/>
      <c r="B179" s="47"/>
      <c r="C179" s="44" t="str">
        <f t="shared" si="2"/>
        <v/>
      </c>
    </row>
    <row r="180" spans="1:3" x14ac:dyDescent="0.3">
      <c r="A180" s="41"/>
      <c r="B180" s="47"/>
      <c r="C180" s="44" t="str">
        <f t="shared" si="2"/>
        <v/>
      </c>
    </row>
    <row r="181" spans="1:3" x14ac:dyDescent="0.3">
      <c r="A181" s="41"/>
      <c r="B181" s="47"/>
      <c r="C181" s="44" t="str">
        <f t="shared" si="2"/>
        <v/>
      </c>
    </row>
    <row r="182" spans="1:3" x14ac:dyDescent="0.3">
      <c r="A182" s="41"/>
      <c r="B182" s="47"/>
      <c r="C182" s="44" t="str">
        <f t="shared" si="2"/>
        <v/>
      </c>
    </row>
    <row r="183" spans="1:3" x14ac:dyDescent="0.3">
      <c r="A183" s="41"/>
      <c r="B183" s="47"/>
      <c r="C183" s="44" t="str">
        <f t="shared" si="2"/>
        <v/>
      </c>
    </row>
    <row r="184" spans="1:3" x14ac:dyDescent="0.3">
      <c r="A184" s="41"/>
      <c r="B184" s="47"/>
      <c r="C184" s="44" t="str">
        <f t="shared" si="2"/>
        <v/>
      </c>
    </row>
    <row r="185" spans="1:3" x14ac:dyDescent="0.3">
      <c r="A185" s="41"/>
      <c r="B185" s="47"/>
      <c r="C185" s="44" t="str">
        <f t="shared" si="2"/>
        <v/>
      </c>
    </row>
    <row r="186" spans="1:3" x14ac:dyDescent="0.3">
      <c r="A186" s="41"/>
      <c r="B186" s="47"/>
      <c r="C186" s="44" t="str">
        <f t="shared" si="2"/>
        <v/>
      </c>
    </row>
    <row r="187" spans="1:3" x14ac:dyDescent="0.3">
      <c r="A187" s="41"/>
      <c r="B187" s="47"/>
      <c r="C187" s="44" t="str">
        <f t="shared" si="2"/>
        <v/>
      </c>
    </row>
    <row r="188" spans="1:3" x14ac:dyDescent="0.3">
      <c r="A188" s="41"/>
      <c r="B188" s="47"/>
      <c r="C188" s="44" t="str">
        <f t="shared" si="2"/>
        <v/>
      </c>
    </row>
    <row r="189" spans="1:3" x14ac:dyDescent="0.3">
      <c r="A189" s="41"/>
      <c r="B189" s="47"/>
      <c r="C189" s="44" t="str">
        <f t="shared" si="2"/>
        <v/>
      </c>
    </row>
    <row r="190" spans="1:3" x14ac:dyDescent="0.3">
      <c r="A190" s="41"/>
      <c r="B190" s="47"/>
      <c r="C190" s="44" t="str">
        <f t="shared" si="2"/>
        <v/>
      </c>
    </row>
    <row r="191" spans="1:3" x14ac:dyDescent="0.3">
      <c r="A191" s="41"/>
      <c r="B191" s="47"/>
      <c r="C191" s="44" t="str">
        <f t="shared" si="2"/>
        <v/>
      </c>
    </row>
    <row r="192" spans="1:3" x14ac:dyDescent="0.3">
      <c r="A192" s="41"/>
      <c r="B192" s="47"/>
      <c r="C192" s="44" t="str">
        <f t="shared" si="2"/>
        <v/>
      </c>
    </row>
    <row r="193" spans="1:3" x14ac:dyDescent="0.3">
      <c r="A193" s="41"/>
      <c r="B193" s="47"/>
      <c r="C193" s="44" t="str">
        <f t="shared" si="2"/>
        <v/>
      </c>
    </row>
    <row r="194" spans="1:3" x14ac:dyDescent="0.3">
      <c r="A194" s="41"/>
      <c r="B194" s="47"/>
      <c r="C194" s="44" t="str">
        <f t="shared" si="2"/>
        <v/>
      </c>
    </row>
    <row r="195" spans="1:3" x14ac:dyDescent="0.3">
      <c r="A195" s="41"/>
      <c r="B195" s="47"/>
      <c r="C195" s="44" t="str">
        <f t="shared" ref="C195:C258" si="3">IF($B$3:$B$1522&lt;&gt;"",$B$3:$B$1522,"")</f>
        <v/>
      </c>
    </row>
    <row r="196" spans="1:3" x14ac:dyDescent="0.3">
      <c r="A196" s="41"/>
      <c r="B196" s="47"/>
      <c r="C196" s="44" t="str">
        <f t="shared" si="3"/>
        <v/>
      </c>
    </row>
    <row r="197" spans="1:3" x14ac:dyDescent="0.3">
      <c r="A197" s="41"/>
      <c r="B197" s="47"/>
      <c r="C197" s="44" t="str">
        <f t="shared" si="3"/>
        <v/>
      </c>
    </row>
    <row r="198" spans="1:3" x14ac:dyDescent="0.3">
      <c r="A198" s="41"/>
      <c r="B198" s="47"/>
      <c r="C198" s="44" t="str">
        <f t="shared" si="3"/>
        <v/>
      </c>
    </row>
    <row r="199" spans="1:3" x14ac:dyDescent="0.3">
      <c r="A199" s="41"/>
      <c r="B199" s="47"/>
      <c r="C199" s="44" t="str">
        <f t="shared" si="3"/>
        <v/>
      </c>
    </row>
    <row r="200" spans="1:3" x14ac:dyDescent="0.3">
      <c r="A200" s="41"/>
      <c r="B200" s="47"/>
      <c r="C200" s="44" t="str">
        <f t="shared" si="3"/>
        <v/>
      </c>
    </row>
    <row r="201" spans="1:3" x14ac:dyDescent="0.3">
      <c r="A201" s="41"/>
      <c r="B201" s="47"/>
      <c r="C201" s="44" t="str">
        <f t="shared" si="3"/>
        <v/>
      </c>
    </row>
    <row r="202" spans="1:3" x14ac:dyDescent="0.3">
      <c r="A202" s="41"/>
      <c r="B202" s="47"/>
      <c r="C202" s="44" t="str">
        <f t="shared" si="3"/>
        <v/>
      </c>
    </row>
    <row r="203" spans="1:3" x14ac:dyDescent="0.3">
      <c r="A203" s="41"/>
      <c r="B203" s="47"/>
      <c r="C203" s="44" t="str">
        <f t="shared" si="3"/>
        <v/>
      </c>
    </row>
    <row r="204" spans="1:3" x14ac:dyDescent="0.3">
      <c r="A204" s="41"/>
      <c r="B204" s="47"/>
      <c r="C204" s="44" t="str">
        <f t="shared" si="3"/>
        <v/>
      </c>
    </row>
    <row r="205" spans="1:3" x14ac:dyDescent="0.3">
      <c r="A205" s="41"/>
      <c r="B205" s="47"/>
      <c r="C205" s="44" t="str">
        <f t="shared" si="3"/>
        <v/>
      </c>
    </row>
    <row r="206" spans="1:3" x14ac:dyDescent="0.3">
      <c r="A206" s="41"/>
      <c r="B206" s="47"/>
      <c r="C206" s="44" t="str">
        <f t="shared" si="3"/>
        <v/>
      </c>
    </row>
    <row r="207" spans="1:3" x14ac:dyDescent="0.3">
      <c r="A207" s="41"/>
      <c r="B207" s="47"/>
      <c r="C207" s="44" t="str">
        <f t="shared" si="3"/>
        <v/>
      </c>
    </row>
    <row r="208" spans="1:3" x14ac:dyDescent="0.3">
      <c r="A208" s="41"/>
      <c r="B208" s="47"/>
      <c r="C208" s="44" t="str">
        <f t="shared" si="3"/>
        <v/>
      </c>
    </row>
    <row r="209" spans="1:3" x14ac:dyDescent="0.3">
      <c r="A209" s="41"/>
      <c r="B209" s="47"/>
      <c r="C209" s="44" t="str">
        <f t="shared" si="3"/>
        <v/>
      </c>
    </row>
    <row r="210" spans="1:3" x14ac:dyDescent="0.3">
      <c r="A210" s="41"/>
      <c r="B210" s="47"/>
      <c r="C210" s="44" t="str">
        <f t="shared" si="3"/>
        <v/>
      </c>
    </row>
    <row r="211" spans="1:3" x14ac:dyDescent="0.3">
      <c r="A211" s="41"/>
      <c r="B211" s="47"/>
      <c r="C211" s="44" t="str">
        <f t="shared" si="3"/>
        <v/>
      </c>
    </row>
    <row r="212" spans="1:3" x14ac:dyDescent="0.3">
      <c r="A212" s="41"/>
      <c r="B212" s="47"/>
      <c r="C212" s="44" t="str">
        <f t="shared" si="3"/>
        <v/>
      </c>
    </row>
    <row r="213" spans="1:3" x14ac:dyDescent="0.3">
      <c r="A213" s="41"/>
      <c r="B213" s="47"/>
      <c r="C213" s="44" t="str">
        <f t="shared" si="3"/>
        <v/>
      </c>
    </row>
    <row r="214" spans="1:3" x14ac:dyDescent="0.3">
      <c r="A214" s="41"/>
      <c r="B214" s="47"/>
      <c r="C214" s="44" t="str">
        <f t="shared" si="3"/>
        <v/>
      </c>
    </row>
    <row r="215" spans="1:3" x14ac:dyDescent="0.3">
      <c r="A215" s="41"/>
      <c r="B215" s="47"/>
      <c r="C215" s="44" t="str">
        <f t="shared" si="3"/>
        <v/>
      </c>
    </row>
    <row r="216" spans="1:3" x14ac:dyDescent="0.3">
      <c r="A216" s="41"/>
      <c r="B216" s="47"/>
      <c r="C216" s="44" t="str">
        <f t="shared" si="3"/>
        <v/>
      </c>
    </row>
    <row r="217" spans="1:3" x14ac:dyDescent="0.3">
      <c r="A217" s="41"/>
      <c r="B217" s="47"/>
      <c r="C217" s="44" t="str">
        <f t="shared" si="3"/>
        <v/>
      </c>
    </row>
    <row r="218" spans="1:3" x14ac:dyDescent="0.3">
      <c r="A218" s="41"/>
      <c r="B218" s="47"/>
      <c r="C218" s="44" t="str">
        <f t="shared" si="3"/>
        <v/>
      </c>
    </row>
    <row r="219" spans="1:3" x14ac:dyDescent="0.3">
      <c r="A219" s="41"/>
      <c r="B219" s="47"/>
      <c r="C219" s="44" t="str">
        <f t="shared" si="3"/>
        <v/>
      </c>
    </row>
    <row r="220" spans="1:3" x14ac:dyDescent="0.3">
      <c r="A220" s="41"/>
      <c r="B220" s="47"/>
      <c r="C220" s="44" t="str">
        <f t="shared" si="3"/>
        <v/>
      </c>
    </row>
    <row r="221" spans="1:3" x14ac:dyDescent="0.3">
      <c r="A221" s="41"/>
      <c r="B221" s="47"/>
      <c r="C221" s="44" t="str">
        <f t="shared" si="3"/>
        <v/>
      </c>
    </row>
    <row r="222" spans="1:3" x14ac:dyDescent="0.3">
      <c r="A222" s="41"/>
      <c r="B222" s="47"/>
      <c r="C222" s="44" t="str">
        <f t="shared" si="3"/>
        <v/>
      </c>
    </row>
    <row r="223" spans="1:3" x14ac:dyDescent="0.3">
      <c r="A223" s="41"/>
      <c r="B223" s="47"/>
      <c r="C223" s="44" t="str">
        <f t="shared" si="3"/>
        <v/>
      </c>
    </row>
    <row r="224" spans="1:3" x14ac:dyDescent="0.3">
      <c r="A224" s="41"/>
      <c r="B224" s="47"/>
      <c r="C224" s="44" t="str">
        <f t="shared" si="3"/>
        <v/>
      </c>
    </row>
    <row r="225" spans="1:3" x14ac:dyDescent="0.3">
      <c r="A225" s="41"/>
      <c r="B225" s="47"/>
      <c r="C225" s="44" t="str">
        <f t="shared" si="3"/>
        <v/>
      </c>
    </row>
    <row r="226" spans="1:3" x14ac:dyDescent="0.3">
      <c r="A226" s="41"/>
      <c r="B226" s="47"/>
      <c r="C226" s="44" t="str">
        <f t="shared" si="3"/>
        <v/>
      </c>
    </row>
    <row r="227" spans="1:3" x14ac:dyDescent="0.3">
      <c r="A227" s="41"/>
      <c r="B227" s="47"/>
      <c r="C227" s="44" t="str">
        <f t="shared" si="3"/>
        <v/>
      </c>
    </row>
    <row r="228" spans="1:3" x14ac:dyDescent="0.3">
      <c r="A228" s="41"/>
      <c r="B228" s="47"/>
      <c r="C228" s="44" t="str">
        <f t="shared" si="3"/>
        <v/>
      </c>
    </row>
    <row r="229" spans="1:3" x14ac:dyDescent="0.3">
      <c r="A229" s="41"/>
      <c r="B229" s="47"/>
      <c r="C229" s="44" t="str">
        <f t="shared" si="3"/>
        <v/>
      </c>
    </row>
    <row r="230" spans="1:3" x14ac:dyDescent="0.3">
      <c r="A230" s="41"/>
      <c r="B230" s="47"/>
      <c r="C230" s="44" t="str">
        <f t="shared" si="3"/>
        <v/>
      </c>
    </row>
    <row r="231" spans="1:3" x14ac:dyDescent="0.3">
      <c r="A231" s="41"/>
      <c r="B231" s="47"/>
      <c r="C231" s="44" t="str">
        <f t="shared" si="3"/>
        <v/>
      </c>
    </row>
    <row r="232" spans="1:3" x14ac:dyDescent="0.3">
      <c r="A232" s="41"/>
      <c r="B232" s="47"/>
      <c r="C232" s="44" t="str">
        <f t="shared" si="3"/>
        <v/>
      </c>
    </row>
    <row r="233" spans="1:3" x14ac:dyDescent="0.3">
      <c r="A233" s="41"/>
      <c r="B233" s="47"/>
      <c r="C233" s="44" t="str">
        <f t="shared" si="3"/>
        <v/>
      </c>
    </row>
    <row r="234" spans="1:3" x14ac:dyDescent="0.3">
      <c r="A234" s="41"/>
      <c r="B234" s="47"/>
      <c r="C234" s="44" t="str">
        <f t="shared" si="3"/>
        <v/>
      </c>
    </row>
    <row r="235" spans="1:3" x14ac:dyDescent="0.3">
      <c r="A235" s="41"/>
      <c r="B235" s="47"/>
      <c r="C235" s="44" t="str">
        <f t="shared" si="3"/>
        <v/>
      </c>
    </row>
    <row r="236" spans="1:3" x14ac:dyDescent="0.3">
      <c r="A236" s="41"/>
      <c r="B236" s="47"/>
      <c r="C236" s="44" t="str">
        <f t="shared" si="3"/>
        <v/>
      </c>
    </row>
    <row r="237" spans="1:3" x14ac:dyDescent="0.3">
      <c r="A237" s="41"/>
      <c r="B237" s="47"/>
      <c r="C237" s="44" t="str">
        <f t="shared" si="3"/>
        <v/>
      </c>
    </row>
    <row r="238" spans="1:3" x14ac:dyDescent="0.3">
      <c r="A238" s="41"/>
      <c r="B238" s="47"/>
      <c r="C238" s="44" t="str">
        <f t="shared" si="3"/>
        <v/>
      </c>
    </row>
    <row r="239" spans="1:3" x14ac:dyDescent="0.3">
      <c r="A239" s="41"/>
      <c r="B239" s="47"/>
      <c r="C239" s="44" t="str">
        <f t="shared" si="3"/>
        <v/>
      </c>
    </row>
    <row r="240" spans="1:3" x14ac:dyDescent="0.3">
      <c r="A240" s="41"/>
      <c r="B240" s="47"/>
      <c r="C240" s="44" t="str">
        <f t="shared" si="3"/>
        <v/>
      </c>
    </row>
    <row r="241" spans="1:3" x14ac:dyDescent="0.3">
      <c r="A241" s="41"/>
      <c r="B241" s="47"/>
      <c r="C241" s="44" t="str">
        <f t="shared" si="3"/>
        <v/>
      </c>
    </row>
    <row r="242" spans="1:3" x14ac:dyDescent="0.3">
      <c r="A242" s="41"/>
      <c r="B242" s="47"/>
      <c r="C242" s="44" t="str">
        <f t="shared" si="3"/>
        <v/>
      </c>
    </row>
    <row r="243" spans="1:3" x14ac:dyDescent="0.3">
      <c r="A243" s="41"/>
      <c r="B243" s="47"/>
      <c r="C243" s="44" t="str">
        <f t="shared" si="3"/>
        <v/>
      </c>
    </row>
    <row r="244" spans="1:3" x14ac:dyDescent="0.3">
      <c r="A244" s="41"/>
      <c r="B244" s="47"/>
      <c r="C244" s="44" t="str">
        <f t="shared" si="3"/>
        <v/>
      </c>
    </row>
    <row r="245" spans="1:3" x14ac:dyDescent="0.3">
      <c r="A245" s="41"/>
      <c r="B245" s="47"/>
      <c r="C245" s="44" t="str">
        <f t="shared" si="3"/>
        <v/>
      </c>
    </row>
    <row r="246" spans="1:3" x14ac:dyDescent="0.3">
      <c r="A246" s="41"/>
      <c r="B246" s="47"/>
      <c r="C246" s="44" t="str">
        <f t="shared" si="3"/>
        <v/>
      </c>
    </row>
    <row r="247" spans="1:3" x14ac:dyDescent="0.3">
      <c r="A247" s="41"/>
      <c r="B247" s="47"/>
      <c r="C247" s="44" t="str">
        <f t="shared" si="3"/>
        <v/>
      </c>
    </row>
    <row r="248" spans="1:3" x14ac:dyDescent="0.3">
      <c r="A248" s="41"/>
      <c r="B248" s="47"/>
      <c r="C248" s="44" t="str">
        <f t="shared" si="3"/>
        <v/>
      </c>
    </row>
    <row r="249" spans="1:3" x14ac:dyDescent="0.3">
      <c r="A249" s="41"/>
      <c r="B249" s="47"/>
      <c r="C249" s="44" t="str">
        <f t="shared" si="3"/>
        <v/>
      </c>
    </row>
    <row r="250" spans="1:3" x14ac:dyDescent="0.3">
      <c r="A250" s="41"/>
      <c r="B250" s="47"/>
      <c r="C250" s="44" t="str">
        <f t="shared" si="3"/>
        <v/>
      </c>
    </row>
    <row r="251" spans="1:3" x14ac:dyDescent="0.3">
      <c r="A251" s="41"/>
      <c r="B251" s="47"/>
      <c r="C251" s="44" t="str">
        <f t="shared" si="3"/>
        <v/>
      </c>
    </row>
    <row r="252" spans="1:3" x14ac:dyDescent="0.3">
      <c r="A252" s="41"/>
      <c r="B252" s="47"/>
      <c r="C252" s="44" t="str">
        <f t="shared" si="3"/>
        <v/>
      </c>
    </row>
    <row r="253" spans="1:3" x14ac:dyDescent="0.3">
      <c r="A253" s="41"/>
      <c r="B253" s="47"/>
      <c r="C253" s="44" t="str">
        <f t="shared" si="3"/>
        <v/>
      </c>
    </row>
    <row r="254" spans="1:3" x14ac:dyDescent="0.3">
      <c r="A254" s="41"/>
      <c r="B254" s="47"/>
      <c r="C254" s="44" t="str">
        <f t="shared" si="3"/>
        <v/>
      </c>
    </row>
    <row r="255" spans="1:3" x14ac:dyDescent="0.3">
      <c r="A255" s="41"/>
      <c r="B255" s="47"/>
      <c r="C255" s="44" t="str">
        <f t="shared" si="3"/>
        <v/>
      </c>
    </row>
    <row r="256" spans="1:3" x14ac:dyDescent="0.3">
      <c r="A256" s="41"/>
      <c r="B256" s="47"/>
      <c r="C256" s="44" t="str">
        <f t="shared" si="3"/>
        <v/>
      </c>
    </row>
    <row r="257" spans="1:3" x14ac:dyDescent="0.3">
      <c r="A257" s="41"/>
      <c r="B257" s="47"/>
      <c r="C257" s="44" t="str">
        <f t="shared" si="3"/>
        <v/>
      </c>
    </row>
    <row r="258" spans="1:3" x14ac:dyDescent="0.3">
      <c r="A258" s="41"/>
      <c r="B258" s="47"/>
      <c r="C258" s="44" t="str">
        <f t="shared" si="3"/>
        <v/>
      </c>
    </row>
    <row r="259" spans="1:3" x14ac:dyDescent="0.3">
      <c r="A259" s="41"/>
      <c r="B259" s="47"/>
      <c r="C259" s="44" t="str">
        <f t="shared" ref="C259:C322" si="4">IF($B$3:$B$1522&lt;&gt;"",$B$3:$B$1522,"")</f>
        <v/>
      </c>
    </row>
    <row r="260" spans="1:3" x14ac:dyDescent="0.3">
      <c r="A260" s="41"/>
      <c r="B260" s="47"/>
      <c r="C260" s="44" t="str">
        <f t="shared" si="4"/>
        <v/>
      </c>
    </row>
    <row r="261" spans="1:3" x14ac:dyDescent="0.3">
      <c r="A261" s="41"/>
      <c r="B261" s="47"/>
      <c r="C261" s="44" t="str">
        <f t="shared" si="4"/>
        <v/>
      </c>
    </row>
    <row r="262" spans="1:3" x14ac:dyDescent="0.3">
      <c r="A262" s="41"/>
      <c r="B262" s="47"/>
      <c r="C262" s="44" t="str">
        <f t="shared" si="4"/>
        <v/>
      </c>
    </row>
    <row r="263" spans="1:3" x14ac:dyDescent="0.3">
      <c r="A263" s="41"/>
      <c r="B263" s="47"/>
      <c r="C263" s="44" t="str">
        <f t="shared" si="4"/>
        <v/>
      </c>
    </row>
    <row r="264" spans="1:3" x14ac:dyDescent="0.3">
      <c r="A264" s="41"/>
      <c r="B264" s="47"/>
      <c r="C264" s="44" t="str">
        <f t="shared" si="4"/>
        <v/>
      </c>
    </row>
    <row r="265" spans="1:3" x14ac:dyDescent="0.3">
      <c r="A265" s="41"/>
      <c r="B265" s="47"/>
      <c r="C265" s="44" t="str">
        <f t="shared" si="4"/>
        <v/>
      </c>
    </row>
    <row r="266" spans="1:3" x14ac:dyDescent="0.3">
      <c r="A266" s="41"/>
      <c r="B266" s="47"/>
      <c r="C266" s="44" t="str">
        <f t="shared" si="4"/>
        <v/>
      </c>
    </row>
    <row r="267" spans="1:3" x14ac:dyDescent="0.3">
      <c r="A267" s="41"/>
      <c r="B267" s="47"/>
      <c r="C267" s="44" t="str">
        <f t="shared" si="4"/>
        <v/>
      </c>
    </row>
    <row r="268" spans="1:3" x14ac:dyDescent="0.3">
      <c r="A268" s="41"/>
      <c r="B268" s="47"/>
      <c r="C268" s="44" t="str">
        <f t="shared" si="4"/>
        <v/>
      </c>
    </row>
    <row r="269" spans="1:3" x14ac:dyDescent="0.3">
      <c r="A269" s="41"/>
      <c r="B269" s="47"/>
      <c r="C269" s="44" t="str">
        <f t="shared" si="4"/>
        <v/>
      </c>
    </row>
    <row r="270" spans="1:3" x14ac:dyDescent="0.3">
      <c r="A270" s="41"/>
      <c r="B270" s="47"/>
      <c r="C270" s="44" t="str">
        <f t="shared" si="4"/>
        <v/>
      </c>
    </row>
    <row r="271" spans="1:3" x14ac:dyDescent="0.3">
      <c r="A271" s="41"/>
      <c r="B271" s="47"/>
      <c r="C271" s="44" t="str">
        <f t="shared" si="4"/>
        <v/>
      </c>
    </row>
    <row r="272" spans="1:3" x14ac:dyDescent="0.3">
      <c r="A272" s="41"/>
      <c r="B272" s="47"/>
      <c r="C272" s="44" t="str">
        <f t="shared" si="4"/>
        <v/>
      </c>
    </row>
    <row r="273" spans="1:3" x14ac:dyDescent="0.3">
      <c r="A273" s="41"/>
      <c r="B273" s="47"/>
      <c r="C273" s="44" t="str">
        <f t="shared" si="4"/>
        <v/>
      </c>
    </row>
    <row r="274" spans="1:3" x14ac:dyDescent="0.3">
      <c r="A274" s="41"/>
      <c r="B274" s="47"/>
      <c r="C274" s="44" t="str">
        <f t="shared" si="4"/>
        <v/>
      </c>
    </row>
    <row r="275" spans="1:3" x14ac:dyDescent="0.3">
      <c r="A275" s="41"/>
      <c r="B275" s="47"/>
      <c r="C275" s="44" t="str">
        <f t="shared" si="4"/>
        <v/>
      </c>
    </row>
    <row r="276" spans="1:3" x14ac:dyDescent="0.3">
      <c r="A276" s="41"/>
      <c r="B276" s="47"/>
      <c r="C276" s="44" t="str">
        <f t="shared" si="4"/>
        <v/>
      </c>
    </row>
    <row r="277" spans="1:3" x14ac:dyDescent="0.3">
      <c r="A277" s="41"/>
      <c r="B277" s="47"/>
      <c r="C277" s="44" t="str">
        <f t="shared" si="4"/>
        <v/>
      </c>
    </row>
    <row r="278" spans="1:3" x14ac:dyDescent="0.3">
      <c r="A278" s="41"/>
      <c r="B278" s="47"/>
      <c r="C278" s="44" t="str">
        <f t="shared" si="4"/>
        <v/>
      </c>
    </row>
    <row r="279" spans="1:3" x14ac:dyDescent="0.3">
      <c r="A279" s="41"/>
      <c r="B279" s="47"/>
      <c r="C279" s="44" t="str">
        <f t="shared" si="4"/>
        <v/>
      </c>
    </row>
    <row r="280" spans="1:3" x14ac:dyDescent="0.3">
      <c r="A280" s="41"/>
      <c r="B280" s="47"/>
      <c r="C280" s="44" t="str">
        <f t="shared" si="4"/>
        <v/>
      </c>
    </row>
    <row r="281" spans="1:3" x14ac:dyDescent="0.3">
      <c r="A281" s="41"/>
      <c r="B281" s="47"/>
      <c r="C281" s="44" t="str">
        <f t="shared" si="4"/>
        <v/>
      </c>
    </row>
    <row r="282" spans="1:3" x14ac:dyDescent="0.3">
      <c r="A282" s="41"/>
      <c r="B282" s="47"/>
      <c r="C282" s="44" t="str">
        <f t="shared" si="4"/>
        <v/>
      </c>
    </row>
    <row r="283" spans="1:3" x14ac:dyDescent="0.3">
      <c r="A283" s="41"/>
      <c r="B283" s="47"/>
      <c r="C283" s="44" t="str">
        <f t="shared" si="4"/>
        <v/>
      </c>
    </row>
    <row r="284" spans="1:3" x14ac:dyDescent="0.3">
      <c r="A284" s="41"/>
      <c r="B284" s="47"/>
      <c r="C284" s="44" t="str">
        <f t="shared" si="4"/>
        <v/>
      </c>
    </row>
    <row r="285" spans="1:3" x14ac:dyDescent="0.3">
      <c r="A285" s="41"/>
      <c r="B285" s="47"/>
      <c r="C285" s="44" t="str">
        <f t="shared" si="4"/>
        <v/>
      </c>
    </row>
    <row r="286" spans="1:3" x14ac:dyDescent="0.3">
      <c r="A286" s="41"/>
      <c r="B286" s="47"/>
      <c r="C286" s="44" t="str">
        <f t="shared" si="4"/>
        <v/>
      </c>
    </row>
    <row r="287" spans="1:3" x14ac:dyDescent="0.3">
      <c r="A287" s="41"/>
      <c r="B287" s="47"/>
      <c r="C287" s="44" t="str">
        <f t="shared" si="4"/>
        <v/>
      </c>
    </row>
    <row r="288" spans="1:3" x14ac:dyDescent="0.3">
      <c r="A288" s="41"/>
      <c r="B288" s="47"/>
      <c r="C288" s="44" t="str">
        <f t="shared" si="4"/>
        <v/>
      </c>
    </row>
    <row r="289" spans="1:3" x14ac:dyDescent="0.3">
      <c r="A289" s="41"/>
      <c r="B289" s="47"/>
      <c r="C289" s="44" t="str">
        <f t="shared" si="4"/>
        <v/>
      </c>
    </row>
    <row r="290" spans="1:3" x14ac:dyDescent="0.3">
      <c r="A290" s="41"/>
      <c r="B290" s="47"/>
      <c r="C290" s="44" t="str">
        <f t="shared" si="4"/>
        <v/>
      </c>
    </row>
    <row r="291" spans="1:3" x14ac:dyDescent="0.3">
      <c r="A291" s="41"/>
      <c r="B291" s="47"/>
      <c r="C291" s="44" t="str">
        <f t="shared" si="4"/>
        <v/>
      </c>
    </row>
    <row r="292" spans="1:3" x14ac:dyDescent="0.3">
      <c r="A292" s="41"/>
      <c r="B292" s="47"/>
      <c r="C292" s="44" t="str">
        <f t="shared" si="4"/>
        <v/>
      </c>
    </row>
    <row r="293" spans="1:3" x14ac:dyDescent="0.3">
      <c r="A293" s="41"/>
      <c r="B293" s="47"/>
      <c r="C293" s="44" t="str">
        <f t="shared" si="4"/>
        <v/>
      </c>
    </row>
    <row r="294" spans="1:3" x14ac:dyDescent="0.3">
      <c r="A294" s="41"/>
      <c r="B294" s="47"/>
      <c r="C294" s="44" t="str">
        <f t="shared" si="4"/>
        <v/>
      </c>
    </row>
    <row r="295" spans="1:3" x14ac:dyDescent="0.3">
      <c r="A295" s="41"/>
      <c r="B295" s="47"/>
      <c r="C295" s="44" t="str">
        <f t="shared" si="4"/>
        <v/>
      </c>
    </row>
    <row r="296" spans="1:3" x14ac:dyDescent="0.3">
      <c r="A296" s="41"/>
      <c r="B296" s="47"/>
      <c r="C296" s="44" t="str">
        <f t="shared" si="4"/>
        <v/>
      </c>
    </row>
    <row r="297" spans="1:3" x14ac:dyDescent="0.3">
      <c r="A297" s="41"/>
      <c r="B297" s="47"/>
      <c r="C297" s="44" t="str">
        <f t="shared" si="4"/>
        <v/>
      </c>
    </row>
    <row r="298" spans="1:3" x14ac:dyDescent="0.3">
      <c r="A298" s="41"/>
      <c r="B298" s="47"/>
      <c r="C298" s="44" t="str">
        <f t="shared" si="4"/>
        <v/>
      </c>
    </row>
    <row r="299" spans="1:3" x14ac:dyDescent="0.3">
      <c r="A299" s="41"/>
      <c r="B299" s="47"/>
      <c r="C299" s="44" t="str">
        <f t="shared" si="4"/>
        <v/>
      </c>
    </row>
    <row r="300" spans="1:3" x14ac:dyDescent="0.3">
      <c r="A300" s="41"/>
      <c r="B300" s="47"/>
      <c r="C300" s="44" t="str">
        <f t="shared" si="4"/>
        <v/>
      </c>
    </row>
    <row r="301" spans="1:3" x14ac:dyDescent="0.3">
      <c r="A301" s="41"/>
      <c r="B301" s="47"/>
      <c r="C301" s="44" t="str">
        <f t="shared" si="4"/>
        <v/>
      </c>
    </row>
    <row r="302" spans="1:3" x14ac:dyDescent="0.3">
      <c r="A302" s="41"/>
      <c r="B302" s="47"/>
      <c r="C302" s="44" t="str">
        <f t="shared" si="4"/>
        <v/>
      </c>
    </row>
    <row r="303" spans="1:3" x14ac:dyDescent="0.3">
      <c r="A303" s="41"/>
      <c r="B303" s="47"/>
      <c r="C303" s="44" t="str">
        <f t="shared" si="4"/>
        <v/>
      </c>
    </row>
    <row r="304" spans="1:3" x14ac:dyDescent="0.3">
      <c r="A304" s="41"/>
      <c r="B304" s="47"/>
      <c r="C304" s="44" t="str">
        <f t="shared" si="4"/>
        <v/>
      </c>
    </row>
    <row r="305" spans="1:3" x14ac:dyDescent="0.3">
      <c r="A305" s="41"/>
      <c r="B305" s="47"/>
      <c r="C305" s="44" t="str">
        <f t="shared" si="4"/>
        <v/>
      </c>
    </row>
    <row r="306" spans="1:3" x14ac:dyDescent="0.3">
      <c r="A306" s="41"/>
      <c r="B306" s="47"/>
      <c r="C306" s="44" t="str">
        <f t="shared" si="4"/>
        <v/>
      </c>
    </row>
    <row r="307" spans="1:3" x14ac:dyDescent="0.3">
      <c r="A307" s="41"/>
      <c r="B307" s="47"/>
      <c r="C307" s="44" t="str">
        <f t="shared" si="4"/>
        <v/>
      </c>
    </row>
    <row r="308" spans="1:3" x14ac:dyDescent="0.3">
      <c r="A308" s="41"/>
      <c r="B308" s="47"/>
      <c r="C308" s="44" t="str">
        <f t="shared" si="4"/>
        <v/>
      </c>
    </row>
    <row r="309" spans="1:3" x14ac:dyDescent="0.3">
      <c r="A309" s="41"/>
      <c r="B309" s="47"/>
      <c r="C309" s="44" t="str">
        <f t="shared" si="4"/>
        <v/>
      </c>
    </row>
    <row r="310" spans="1:3" x14ac:dyDescent="0.3">
      <c r="A310" s="41"/>
      <c r="B310" s="47"/>
      <c r="C310" s="44" t="str">
        <f t="shared" si="4"/>
        <v/>
      </c>
    </row>
    <row r="311" spans="1:3" x14ac:dyDescent="0.3">
      <c r="A311" s="41"/>
      <c r="B311" s="47"/>
      <c r="C311" s="44" t="str">
        <f t="shared" si="4"/>
        <v/>
      </c>
    </row>
    <row r="312" spans="1:3" x14ac:dyDescent="0.3">
      <c r="A312" s="41"/>
      <c r="B312" s="47"/>
      <c r="C312" s="44" t="str">
        <f t="shared" si="4"/>
        <v/>
      </c>
    </row>
    <row r="313" spans="1:3" x14ac:dyDescent="0.3">
      <c r="A313" s="41"/>
      <c r="B313" s="47"/>
      <c r="C313" s="44" t="str">
        <f t="shared" si="4"/>
        <v/>
      </c>
    </row>
    <row r="314" spans="1:3" x14ac:dyDescent="0.3">
      <c r="A314" s="41"/>
      <c r="B314" s="47"/>
      <c r="C314" s="44" t="str">
        <f t="shared" si="4"/>
        <v/>
      </c>
    </row>
    <row r="315" spans="1:3" x14ac:dyDescent="0.3">
      <c r="A315" s="41"/>
      <c r="B315" s="47"/>
      <c r="C315" s="44" t="str">
        <f t="shared" si="4"/>
        <v/>
      </c>
    </row>
    <row r="316" spans="1:3" x14ac:dyDescent="0.3">
      <c r="A316" s="41"/>
      <c r="B316" s="47"/>
      <c r="C316" s="44" t="str">
        <f t="shared" si="4"/>
        <v/>
      </c>
    </row>
    <row r="317" spans="1:3" x14ac:dyDescent="0.3">
      <c r="A317" s="41"/>
      <c r="B317" s="47"/>
      <c r="C317" s="44" t="str">
        <f t="shared" si="4"/>
        <v/>
      </c>
    </row>
    <row r="318" spans="1:3" x14ac:dyDescent="0.3">
      <c r="A318" s="41"/>
      <c r="B318" s="47"/>
      <c r="C318" s="44" t="str">
        <f t="shared" si="4"/>
        <v/>
      </c>
    </row>
    <row r="319" spans="1:3" x14ac:dyDescent="0.3">
      <c r="A319" s="41"/>
      <c r="B319" s="47"/>
      <c r="C319" s="44" t="str">
        <f t="shared" si="4"/>
        <v/>
      </c>
    </row>
    <row r="320" spans="1:3" x14ac:dyDescent="0.3">
      <c r="A320" s="41"/>
      <c r="B320" s="47"/>
      <c r="C320" s="44" t="str">
        <f t="shared" si="4"/>
        <v/>
      </c>
    </row>
    <row r="321" spans="1:3" x14ac:dyDescent="0.3">
      <c r="A321" s="41"/>
      <c r="B321" s="47"/>
      <c r="C321" s="44" t="str">
        <f t="shared" si="4"/>
        <v/>
      </c>
    </row>
    <row r="322" spans="1:3" x14ac:dyDescent="0.3">
      <c r="A322" s="41"/>
      <c r="B322" s="47"/>
      <c r="C322" s="44" t="str">
        <f t="shared" si="4"/>
        <v/>
      </c>
    </row>
    <row r="323" spans="1:3" x14ac:dyDescent="0.3">
      <c r="A323" s="41"/>
      <c r="B323" s="47"/>
      <c r="C323" s="44" t="str">
        <f t="shared" ref="C323:C386" si="5">IF($B$3:$B$1522&lt;&gt;"",$B$3:$B$1522,"")</f>
        <v/>
      </c>
    </row>
    <row r="324" spans="1:3" x14ac:dyDescent="0.3">
      <c r="A324" s="41"/>
      <c r="B324" s="47"/>
      <c r="C324" s="44" t="str">
        <f t="shared" si="5"/>
        <v/>
      </c>
    </row>
    <row r="325" spans="1:3" x14ac:dyDescent="0.3">
      <c r="A325" s="41"/>
      <c r="B325" s="47"/>
      <c r="C325" s="44" t="str">
        <f t="shared" si="5"/>
        <v/>
      </c>
    </row>
    <row r="326" spans="1:3" x14ac:dyDescent="0.3">
      <c r="A326" s="41"/>
      <c r="B326" s="47"/>
      <c r="C326" s="44" t="str">
        <f t="shared" si="5"/>
        <v/>
      </c>
    </row>
    <row r="327" spans="1:3" x14ac:dyDescent="0.3">
      <c r="A327" s="41"/>
      <c r="B327" s="47"/>
      <c r="C327" s="44" t="str">
        <f t="shared" si="5"/>
        <v/>
      </c>
    </row>
    <row r="328" spans="1:3" x14ac:dyDescent="0.3">
      <c r="A328" s="41"/>
      <c r="B328" s="47"/>
      <c r="C328" s="44" t="str">
        <f t="shared" si="5"/>
        <v/>
      </c>
    </row>
    <row r="329" spans="1:3" x14ac:dyDescent="0.3">
      <c r="A329" s="41"/>
      <c r="B329" s="47"/>
      <c r="C329" s="44" t="str">
        <f t="shared" si="5"/>
        <v/>
      </c>
    </row>
    <row r="330" spans="1:3" x14ac:dyDescent="0.3">
      <c r="A330" s="41"/>
      <c r="B330" s="47"/>
      <c r="C330" s="44" t="str">
        <f t="shared" si="5"/>
        <v/>
      </c>
    </row>
    <row r="331" spans="1:3" x14ac:dyDescent="0.3">
      <c r="A331" s="41"/>
      <c r="B331" s="47"/>
      <c r="C331" s="44" t="str">
        <f t="shared" si="5"/>
        <v/>
      </c>
    </row>
    <row r="332" spans="1:3" x14ac:dyDescent="0.3">
      <c r="A332" s="41"/>
      <c r="B332" s="47"/>
      <c r="C332" s="44" t="str">
        <f t="shared" si="5"/>
        <v/>
      </c>
    </row>
    <row r="333" spans="1:3" x14ac:dyDescent="0.3">
      <c r="A333" s="41"/>
      <c r="B333" s="47"/>
      <c r="C333" s="44" t="str">
        <f t="shared" si="5"/>
        <v/>
      </c>
    </row>
    <row r="334" spans="1:3" x14ac:dyDescent="0.3">
      <c r="A334" s="41"/>
      <c r="B334" s="47"/>
      <c r="C334" s="44" t="str">
        <f t="shared" si="5"/>
        <v/>
      </c>
    </row>
    <row r="335" spans="1:3" x14ac:dyDescent="0.3">
      <c r="A335" s="41"/>
      <c r="B335" s="47"/>
      <c r="C335" s="44" t="str">
        <f t="shared" si="5"/>
        <v/>
      </c>
    </row>
    <row r="336" spans="1:3" x14ac:dyDescent="0.3">
      <c r="A336" s="41"/>
      <c r="B336" s="47"/>
      <c r="C336" s="44" t="str">
        <f t="shared" si="5"/>
        <v/>
      </c>
    </row>
    <row r="337" spans="1:3" x14ac:dyDescent="0.3">
      <c r="A337" s="41"/>
      <c r="B337" s="47"/>
      <c r="C337" s="44" t="str">
        <f t="shared" si="5"/>
        <v/>
      </c>
    </row>
    <row r="338" spans="1:3" x14ac:dyDescent="0.3">
      <c r="A338" s="41"/>
      <c r="B338" s="47"/>
      <c r="C338" s="44" t="str">
        <f t="shared" si="5"/>
        <v/>
      </c>
    </row>
    <row r="339" spans="1:3" x14ac:dyDescent="0.3">
      <c r="A339" s="41"/>
      <c r="B339" s="47"/>
      <c r="C339" s="44" t="str">
        <f t="shared" si="5"/>
        <v/>
      </c>
    </row>
    <row r="340" spans="1:3" x14ac:dyDescent="0.3">
      <c r="A340" s="41"/>
      <c r="B340" s="47"/>
      <c r="C340" s="44" t="str">
        <f t="shared" si="5"/>
        <v/>
      </c>
    </row>
    <row r="341" spans="1:3" x14ac:dyDescent="0.3">
      <c r="A341" s="41"/>
      <c r="B341" s="47"/>
      <c r="C341" s="44" t="str">
        <f t="shared" si="5"/>
        <v/>
      </c>
    </row>
    <row r="342" spans="1:3" x14ac:dyDescent="0.3">
      <c r="A342" s="41"/>
      <c r="B342" s="47"/>
      <c r="C342" s="44" t="str">
        <f t="shared" si="5"/>
        <v/>
      </c>
    </row>
    <row r="343" spans="1:3" x14ac:dyDescent="0.3">
      <c r="A343" s="41"/>
      <c r="B343" s="47"/>
      <c r="C343" s="44" t="str">
        <f t="shared" si="5"/>
        <v/>
      </c>
    </row>
    <row r="344" spans="1:3" x14ac:dyDescent="0.3">
      <c r="A344" s="41"/>
      <c r="B344" s="47"/>
      <c r="C344" s="44" t="str">
        <f t="shared" si="5"/>
        <v/>
      </c>
    </row>
    <row r="345" spans="1:3" x14ac:dyDescent="0.3">
      <c r="A345" s="41"/>
      <c r="B345" s="47"/>
      <c r="C345" s="44" t="str">
        <f t="shared" si="5"/>
        <v/>
      </c>
    </row>
    <row r="346" spans="1:3" x14ac:dyDescent="0.3">
      <c r="A346" s="41"/>
      <c r="B346" s="47"/>
      <c r="C346" s="44" t="str">
        <f t="shared" si="5"/>
        <v/>
      </c>
    </row>
    <row r="347" spans="1:3" x14ac:dyDescent="0.3">
      <c r="A347" s="41"/>
      <c r="B347" s="47"/>
      <c r="C347" s="44" t="str">
        <f t="shared" si="5"/>
        <v/>
      </c>
    </row>
    <row r="348" spans="1:3" x14ac:dyDescent="0.3">
      <c r="A348" s="41"/>
      <c r="B348" s="47"/>
      <c r="C348" s="44" t="str">
        <f t="shared" si="5"/>
        <v/>
      </c>
    </row>
    <row r="349" spans="1:3" x14ac:dyDescent="0.3">
      <c r="A349" s="41"/>
      <c r="B349" s="47"/>
      <c r="C349" s="44" t="str">
        <f t="shared" si="5"/>
        <v/>
      </c>
    </row>
    <row r="350" spans="1:3" x14ac:dyDescent="0.3">
      <c r="A350" s="41"/>
      <c r="B350" s="47"/>
      <c r="C350" s="44" t="str">
        <f t="shared" si="5"/>
        <v/>
      </c>
    </row>
    <row r="351" spans="1:3" x14ac:dyDescent="0.3">
      <c r="A351" s="41"/>
      <c r="B351" s="47"/>
      <c r="C351" s="44" t="str">
        <f t="shared" si="5"/>
        <v/>
      </c>
    </row>
    <row r="352" spans="1:3" x14ac:dyDescent="0.3">
      <c r="A352" s="41"/>
      <c r="B352" s="47"/>
      <c r="C352" s="44" t="str">
        <f t="shared" si="5"/>
        <v/>
      </c>
    </row>
    <row r="353" spans="1:3" x14ac:dyDescent="0.3">
      <c r="A353" s="41"/>
      <c r="B353" s="47"/>
      <c r="C353" s="44" t="str">
        <f t="shared" si="5"/>
        <v/>
      </c>
    </row>
    <row r="354" spans="1:3" x14ac:dyDescent="0.3">
      <c r="A354" s="41"/>
      <c r="B354" s="47"/>
      <c r="C354" s="44" t="str">
        <f t="shared" si="5"/>
        <v/>
      </c>
    </row>
    <row r="355" spans="1:3" x14ac:dyDescent="0.3">
      <c r="A355" s="41"/>
      <c r="B355" s="47"/>
      <c r="C355" s="44" t="str">
        <f t="shared" si="5"/>
        <v/>
      </c>
    </row>
    <row r="356" spans="1:3" x14ac:dyDescent="0.3">
      <c r="A356" s="41"/>
      <c r="B356" s="47"/>
      <c r="C356" s="44" t="str">
        <f t="shared" si="5"/>
        <v/>
      </c>
    </row>
    <row r="357" spans="1:3" x14ac:dyDescent="0.3">
      <c r="A357" s="41"/>
      <c r="B357" s="47"/>
      <c r="C357" s="44" t="str">
        <f t="shared" si="5"/>
        <v/>
      </c>
    </row>
    <row r="358" spans="1:3" x14ac:dyDescent="0.3">
      <c r="A358" s="41"/>
      <c r="B358" s="47"/>
      <c r="C358" s="44" t="str">
        <f t="shared" si="5"/>
        <v/>
      </c>
    </row>
    <row r="359" spans="1:3" x14ac:dyDescent="0.3">
      <c r="A359" s="41"/>
      <c r="B359" s="47"/>
      <c r="C359" s="44" t="str">
        <f t="shared" si="5"/>
        <v/>
      </c>
    </row>
    <row r="360" spans="1:3" x14ac:dyDescent="0.3">
      <c r="A360" s="41"/>
      <c r="B360" s="47"/>
      <c r="C360" s="44" t="str">
        <f t="shared" si="5"/>
        <v/>
      </c>
    </row>
    <row r="361" spans="1:3" x14ac:dyDescent="0.3">
      <c r="A361" s="41"/>
      <c r="B361" s="47"/>
      <c r="C361" s="44" t="str">
        <f t="shared" si="5"/>
        <v/>
      </c>
    </row>
    <row r="362" spans="1:3" x14ac:dyDescent="0.3">
      <c r="A362" s="41"/>
      <c r="B362" s="47"/>
      <c r="C362" s="44" t="str">
        <f t="shared" si="5"/>
        <v/>
      </c>
    </row>
    <row r="363" spans="1:3" x14ac:dyDescent="0.3">
      <c r="A363" s="41"/>
      <c r="B363" s="47"/>
      <c r="C363" s="44" t="str">
        <f t="shared" si="5"/>
        <v/>
      </c>
    </row>
    <row r="364" spans="1:3" x14ac:dyDescent="0.3">
      <c r="A364" s="41"/>
      <c r="B364" s="47"/>
      <c r="C364" s="44" t="str">
        <f t="shared" si="5"/>
        <v/>
      </c>
    </row>
    <row r="365" spans="1:3" x14ac:dyDescent="0.3">
      <c r="A365" s="41"/>
      <c r="B365" s="47"/>
      <c r="C365" s="44" t="str">
        <f t="shared" si="5"/>
        <v/>
      </c>
    </row>
    <row r="366" spans="1:3" x14ac:dyDescent="0.3">
      <c r="A366" s="41"/>
      <c r="B366" s="47"/>
      <c r="C366" s="44" t="str">
        <f t="shared" si="5"/>
        <v/>
      </c>
    </row>
    <row r="367" spans="1:3" x14ac:dyDescent="0.3">
      <c r="A367" s="41"/>
      <c r="B367" s="47"/>
      <c r="C367" s="44" t="str">
        <f t="shared" si="5"/>
        <v/>
      </c>
    </row>
    <row r="368" spans="1:3" x14ac:dyDescent="0.3">
      <c r="A368" s="41"/>
      <c r="B368" s="47"/>
      <c r="C368" s="44" t="str">
        <f t="shared" si="5"/>
        <v/>
      </c>
    </row>
    <row r="369" spans="1:3" x14ac:dyDescent="0.3">
      <c r="A369" s="41"/>
      <c r="B369" s="47"/>
      <c r="C369" s="44" t="str">
        <f t="shared" si="5"/>
        <v/>
      </c>
    </row>
    <row r="370" spans="1:3" x14ac:dyDescent="0.3">
      <c r="A370" s="41"/>
      <c r="B370" s="47"/>
      <c r="C370" s="44" t="str">
        <f t="shared" si="5"/>
        <v/>
      </c>
    </row>
    <row r="371" spans="1:3" x14ac:dyDescent="0.3">
      <c r="A371" s="41"/>
      <c r="B371" s="47"/>
      <c r="C371" s="44" t="str">
        <f t="shared" si="5"/>
        <v/>
      </c>
    </row>
    <row r="372" spans="1:3" x14ac:dyDescent="0.3">
      <c r="A372" s="41"/>
      <c r="B372" s="47"/>
      <c r="C372" s="44" t="str">
        <f t="shared" si="5"/>
        <v/>
      </c>
    </row>
    <row r="373" spans="1:3" x14ac:dyDescent="0.3">
      <c r="A373" s="41"/>
      <c r="B373" s="47"/>
      <c r="C373" s="44" t="str">
        <f t="shared" si="5"/>
        <v/>
      </c>
    </row>
    <row r="374" spans="1:3" x14ac:dyDescent="0.3">
      <c r="A374" s="41"/>
      <c r="B374" s="47"/>
      <c r="C374" s="44" t="str">
        <f t="shared" si="5"/>
        <v/>
      </c>
    </row>
    <row r="375" spans="1:3" x14ac:dyDescent="0.3">
      <c r="A375" s="41"/>
      <c r="B375" s="47"/>
      <c r="C375" s="44" t="str">
        <f t="shared" si="5"/>
        <v/>
      </c>
    </row>
    <row r="376" spans="1:3" x14ac:dyDescent="0.3">
      <c r="A376" s="41"/>
      <c r="B376" s="47"/>
      <c r="C376" s="44" t="str">
        <f t="shared" si="5"/>
        <v/>
      </c>
    </row>
    <row r="377" spans="1:3" x14ac:dyDescent="0.3">
      <c r="A377" s="41"/>
      <c r="B377" s="47"/>
      <c r="C377" s="44" t="str">
        <f t="shared" si="5"/>
        <v/>
      </c>
    </row>
    <row r="378" spans="1:3" x14ac:dyDescent="0.3">
      <c r="A378" s="41"/>
      <c r="B378" s="47"/>
      <c r="C378" s="44" t="str">
        <f t="shared" si="5"/>
        <v/>
      </c>
    </row>
    <row r="379" spans="1:3" x14ac:dyDescent="0.3">
      <c r="A379" s="41"/>
      <c r="B379" s="47"/>
      <c r="C379" s="44" t="str">
        <f t="shared" si="5"/>
        <v/>
      </c>
    </row>
    <row r="380" spans="1:3" x14ac:dyDescent="0.3">
      <c r="A380" s="41"/>
      <c r="B380" s="47"/>
      <c r="C380" s="44" t="str">
        <f t="shared" si="5"/>
        <v/>
      </c>
    </row>
    <row r="381" spans="1:3" x14ac:dyDescent="0.3">
      <c r="A381" s="41"/>
      <c r="B381" s="47"/>
      <c r="C381" s="44" t="str">
        <f t="shared" si="5"/>
        <v/>
      </c>
    </row>
    <row r="382" spans="1:3" x14ac:dyDescent="0.3">
      <c r="A382" s="41"/>
      <c r="B382" s="47"/>
      <c r="C382" s="44" t="str">
        <f t="shared" si="5"/>
        <v/>
      </c>
    </row>
    <row r="383" spans="1:3" x14ac:dyDescent="0.3">
      <c r="A383" s="41"/>
      <c r="B383" s="47"/>
      <c r="C383" s="44" t="str">
        <f t="shared" si="5"/>
        <v/>
      </c>
    </row>
    <row r="384" spans="1:3" x14ac:dyDescent="0.3">
      <c r="A384" s="41"/>
      <c r="B384" s="47"/>
      <c r="C384" s="44" t="str">
        <f t="shared" si="5"/>
        <v/>
      </c>
    </row>
    <row r="385" spans="1:3" x14ac:dyDescent="0.3">
      <c r="A385" s="41"/>
      <c r="B385" s="47"/>
      <c r="C385" s="44" t="str">
        <f t="shared" si="5"/>
        <v/>
      </c>
    </row>
    <row r="386" spans="1:3" x14ac:dyDescent="0.3">
      <c r="A386" s="41"/>
      <c r="B386" s="47"/>
      <c r="C386" s="44" t="str">
        <f t="shared" si="5"/>
        <v/>
      </c>
    </row>
    <row r="387" spans="1:3" x14ac:dyDescent="0.3">
      <c r="A387" s="41"/>
      <c r="B387" s="47"/>
      <c r="C387" s="44" t="str">
        <f t="shared" ref="C387:C432" si="6">IF($B$3:$B$1522&lt;&gt;"",$B$3:$B$1522,"")</f>
        <v/>
      </c>
    </row>
    <row r="388" spans="1:3" x14ac:dyDescent="0.3">
      <c r="A388" s="41"/>
      <c r="B388" s="47"/>
      <c r="C388" s="44" t="str">
        <f t="shared" si="6"/>
        <v/>
      </c>
    </row>
    <row r="389" spans="1:3" x14ac:dyDescent="0.3">
      <c r="A389" s="41"/>
      <c r="B389" s="47"/>
      <c r="C389" s="44" t="str">
        <f t="shared" si="6"/>
        <v/>
      </c>
    </row>
    <row r="390" spans="1:3" x14ac:dyDescent="0.3">
      <c r="A390" s="41"/>
      <c r="B390" s="47"/>
      <c r="C390" s="44" t="str">
        <f t="shared" si="6"/>
        <v/>
      </c>
    </row>
    <row r="391" spans="1:3" x14ac:dyDescent="0.3">
      <c r="A391" s="41"/>
      <c r="B391" s="47"/>
      <c r="C391" s="44" t="str">
        <f t="shared" si="6"/>
        <v/>
      </c>
    </row>
    <row r="392" spans="1:3" x14ac:dyDescent="0.3">
      <c r="A392" s="41"/>
      <c r="B392" s="47"/>
      <c r="C392" s="44" t="str">
        <f t="shared" si="6"/>
        <v/>
      </c>
    </row>
    <row r="393" spans="1:3" x14ac:dyDescent="0.3">
      <c r="A393" s="41"/>
      <c r="B393" s="47"/>
      <c r="C393" s="44" t="str">
        <f t="shared" si="6"/>
        <v/>
      </c>
    </row>
    <row r="394" spans="1:3" x14ac:dyDescent="0.3">
      <c r="A394" s="41"/>
      <c r="B394" s="47"/>
      <c r="C394" s="44" t="str">
        <f t="shared" si="6"/>
        <v/>
      </c>
    </row>
    <row r="395" spans="1:3" x14ac:dyDescent="0.3">
      <c r="A395" s="41"/>
      <c r="B395" s="47"/>
      <c r="C395" s="44" t="str">
        <f t="shared" si="6"/>
        <v/>
      </c>
    </row>
    <row r="396" spans="1:3" x14ac:dyDescent="0.3">
      <c r="A396" s="41"/>
      <c r="B396" s="47"/>
      <c r="C396" s="44" t="str">
        <f t="shared" si="6"/>
        <v/>
      </c>
    </row>
    <row r="397" spans="1:3" x14ac:dyDescent="0.3">
      <c r="A397" s="41"/>
      <c r="B397" s="47"/>
      <c r="C397" s="44" t="str">
        <f t="shared" si="6"/>
        <v/>
      </c>
    </row>
    <row r="398" spans="1:3" x14ac:dyDescent="0.3">
      <c r="A398" s="41"/>
      <c r="B398" s="47"/>
      <c r="C398" s="44" t="str">
        <f t="shared" si="6"/>
        <v/>
      </c>
    </row>
    <row r="399" spans="1:3" x14ac:dyDescent="0.3">
      <c r="A399" s="41"/>
      <c r="B399" s="47"/>
      <c r="C399" s="44" t="str">
        <f t="shared" si="6"/>
        <v/>
      </c>
    </row>
    <row r="400" spans="1:3" x14ac:dyDescent="0.3">
      <c r="A400" s="41"/>
      <c r="B400" s="47"/>
      <c r="C400" s="44" t="str">
        <f t="shared" si="6"/>
        <v/>
      </c>
    </row>
    <row r="401" spans="3:3" x14ac:dyDescent="0.3">
      <c r="C401" s="44" t="str">
        <f t="shared" si="6"/>
        <v/>
      </c>
    </row>
    <row r="402" spans="3:3" x14ac:dyDescent="0.3">
      <c r="C402" s="44" t="str">
        <f t="shared" si="6"/>
        <v/>
      </c>
    </row>
    <row r="403" spans="3:3" x14ac:dyDescent="0.3">
      <c r="C403" s="44" t="str">
        <f t="shared" si="6"/>
        <v/>
      </c>
    </row>
    <row r="404" spans="3:3" x14ac:dyDescent="0.3">
      <c r="C404" s="44" t="str">
        <f t="shared" si="6"/>
        <v/>
      </c>
    </row>
    <row r="405" spans="3:3" x14ac:dyDescent="0.3">
      <c r="C405" s="44" t="str">
        <f t="shared" si="6"/>
        <v/>
      </c>
    </row>
    <row r="406" spans="3:3" x14ac:dyDescent="0.3">
      <c r="C406" s="44" t="str">
        <f t="shared" si="6"/>
        <v/>
      </c>
    </row>
    <row r="407" spans="3:3" x14ac:dyDescent="0.3">
      <c r="C407" s="44" t="str">
        <f t="shared" si="6"/>
        <v/>
      </c>
    </row>
    <row r="408" spans="3:3" x14ac:dyDescent="0.3">
      <c r="C408" s="44" t="str">
        <f t="shared" si="6"/>
        <v/>
      </c>
    </row>
    <row r="409" spans="3:3" x14ac:dyDescent="0.3">
      <c r="C409" s="44" t="str">
        <f t="shared" si="6"/>
        <v/>
      </c>
    </row>
    <row r="410" spans="3:3" x14ac:dyDescent="0.3">
      <c r="C410" s="44" t="str">
        <f t="shared" si="6"/>
        <v/>
      </c>
    </row>
    <row r="411" spans="3:3" x14ac:dyDescent="0.3">
      <c r="C411" s="44" t="str">
        <f t="shared" si="6"/>
        <v/>
      </c>
    </row>
    <row r="412" spans="3:3" x14ac:dyDescent="0.3">
      <c r="C412" s="44" t="str">
        <f t="shared" si="6"/>
        <v/>
      </c>
    </row>
    <row r="413" spans="3:3" x14ac:dyDescent="0.3">
      <c r="C413" s="44" t="str">
        <f t="shared" si="6"/>
        <v/>
      </c>
    </row>
    <row r="414" spans="3:3" x14ac:dyDescent="0.3">
      <c r="C414" s="44" t="str">
        <f t="shared" si="6"/>
        <v/>
      </c>
    </row>
    <row r="415" spans="3:3" x14ac:dyDescent="0.3">
      <c r="C415" s="44" t="str">
        <f t="shared" si="6"/>
        <v/>
      </c>
    </row>
    <row r="416" spans="3:3" x14ac:dyDescent="0.3">
      <c r="C416" s="44" t="str">
        <f t="shared" si="6"/>
        <v/>
      </c>
    </row>
    <row r="417" spans="3:3" x14ac:dyDescent="0.3">
      <c r="C417" s="44" t="str">
        <f t="shared" si="6"/>
        <v/>
      </c>
    </row>
    <row r="418" spans="3:3" x14ac:dyDescent="0.3">
      <c r="C418" s="44" t="str">
        <f t="shared" si="6"/>
        <v/>
      </c>
    </row>
    <row r="419" spans="3:3" x14ac:dyDescent="0.3">
      <c r="C419" s="44" t="str">
        <f t="shared" si="6"/>
        <v/>
      </c>
    </row>
    <row r="420" spans="3:3" x14ac:dyDescent="0.3">
      <c r="C420" s="44" t="str">
        <f t="shared" si="6"/>
        <v/>
      </c>
    </row>
    <row r="421" spans="3:3" x14ac:dyDescent="0.3">
      <c r="C421" s="44" t="str">
        <f t="shared" si="6"/>
        <v/>
      </c>
    </row>
    <row r="422" spans="3:3" x14ac:dyDescent="0.3">
      <c r="C422" s="44" t="str">
        <f t="shared" si="6"/>
        <v/>
      </c>
    </row>
    <row r="423" spans="3:3" x14ac:dyDescent="0.3">
      <c r="C423" s="44" t="str">
        <f t="shared" si="6"/>
        <v/>
      </c>
    </row>
    <row r="424" spans="3:3" x14ac:dyDescent="0.3">
      <c r="C424" s="44" t="str">
        <f t="shared" si="6"/>
        <v/>
      </c>
    </row>
    <row r="425" spans="3:3" x14ac:dyDescent="0.3">
      <c r="C425" s="44" t="str">
        <f t="shared" si="6"/>
        <v/>
      </c>
    </row>
    <row r="426" spans="3:3" x14ac:dyDescent="0.3">
      <c r="C426" s="44" t="str">
        <f t="shared" si="6"/>
        <v/>
      </c>
    </row>
    <row r="427" spans="3:3" x14ac:dyDescent="0.3">
      <c r="C427" s="44" t="str">
        <f t="shared" si="6"/>
        <v/>
      </c>
    </row>
    <row r="428" spans="3:3" x14ac:dyDescent="0.3">
      <c r="C428" s="44" t="str">
        <f t="shared" si="6"/>
        <v/>
      </c>
    </row>
    <row r="429" spans="3:3" x14ac:dyDescent="0.3">
      <c r="C429" s="44" t="str">
        <f t="shared" si="6"/>
        <v/>
      </c>
    </row>
    <row r="430" spans="3:3" x14ac:dyDescent="0.3">
      <c r="C430" s="44" t="str">
        <f t="shared" si="6"/>
        <v/>
      </c>
    </row>
    <row r="431" spans="3:3" x14ac:dyDescent="0.3">
      <c r="C431" s="44" t="str">
        <f t="shared" si="6"/>
        <v/>
      </c>
    </row>
    <row r="432" spans="3:3" x14ac:dyDescent="0.3">
      <c r="C432" s="44" t="str">
        <f t="shared" si="6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Voucher</vt:lpstr>
      <vt:lpstr>Sales</vt:lpstr>
      <vt:lpstr>Stock</vt:lpstr>
      <vt:lpstr>Setup</vt:lpstr>
      <vt:lpstr>Backend</vt:lpstr>
      <vt:lpstr>al</vt:lpstr>
      <vt:lpstr>Criteria</vt:lpstr>
      <vt:lpstr>Voucher!Extract</vt:lpstr>
      <vt:lpstr>Itemcode</vt:lpstr>
      <vt:lpstr>Itemname</vt:lpstr>
      <vt:lpstr>list</vt:lpstr>
      <vt:lpstr>Stock!Print_Area</vt:lpstr>
      <vt:lpstr>Voucher!Print_Area</vt:lpstr>
      <vt:lpstr>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TANVIR AHMED</dc:creator>
  <cp:lastModifiedBy>Windows</cp:lastModifiedBy>
  <cp:lastPrinted>2022-06-30T08:06:00Z</cp:lastPrinted>
  <dcterms:created xsi:type="dcterms:W3CDTF">2022-06-23T03:11:39Z</dcterms:created>
  <dcterms:modified xsi:type="dcterms:W3CDTF">2022-07-22T17:56:37Z</dcterms:modified>
</cp:coreProperties>
</file>